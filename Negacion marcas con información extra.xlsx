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USUARIO\Desktop\"/>
    </mc:Choice>
  </mc:AlternateContent>
  <xr:revisionPtr revIDLastSave="0" documentId="13_ncr:1_{95984CDA-E791-4337-85BD-30090352B970}" xr6:coauthVersionLast="47" xr6:coauthVersionMax="47" xr10:uidLastSave="{00000000-0000-0000-0000-000000000000}"/>
  <bookViews>
    <workbookView xWindow="-96" yWindow="-96" windowWidth="30912" windowHeight="16752" xr2:uid="{00000000-000D-0000-FFFF-FFFF00000000}"/>
  </bookViews>
  <sheets>
    <sheet name="Hoja1" sheetId="1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5" roundtripDataChecksum="4BtMlq741lUYZh9HWXTp/Rog2WQrGXAjbIfCyiCQmxc="/>
    </ext>
  </extLst>
</workbook>
</file>

<file path=xl/calcChain.xml><?xml version="1.0" encoding="utf-8"?>
<calcChain xmlns="http://schemas.openxmlformats.org/spreadsheetml/2006/main">
  <c r="A491" i="12" l="1"/>
  <c r="A203" i="12"/>
  <c r="A700" i="12"/>
  <c r="A699" i="12"/>
  <c r="A698" i="12"/>
  <c r="A697" i="12"/>
  <c r="A696" i="12"/>
  <c r="A695" i="12"/>
  <c r="A694" i="12"/>
  <c r="A693" i="12"/>
  <c r="A692" i="12"/>
  <c r="A691" i="12"/>
  <c r="A690" i="12"/>
  <c r="A689" i="12"/>
  <c r="A688" i="12"/>
  <c r="A687" i="12"/>
  <c r="A686" i="12"/>
  <c r="A685" i="12"/>
  <c r="A684" i="12"/>
  <c r="A683" i="12"/>
  <c r="A682" i="12"/>
  <c r="A681" i="12"/>
  <c r="A680" i="12"/>
  <c r="A679" i="12"/>
  <c r="A678" i="12"/>
  <c r="A677" i="12"/>
  <c r="A676" i="12"/>
  <c r="A675" i="12"/>
  <c r="A674" i="12"/>
  <c r="A673" i="12"/>
  <c r="A672" i="12"/>
  <c r="A671" i="12"/>
  <c r="A670" i="12"/>
  <c r="A669" i="12"/>
  <c r="A668" i="12"/>
  <c r="A667" i="12"/>
  <c r="A666" i="12"/>
  <c r="A665" i="12"/>
  <c r="A664" i="12"/>
  <c r="A663" i="12"/>
  <c r="A662" i="12"/>
  <c r="A661" i="12"/>
  <c r="A660" i="12"/>
  <c r="A659" i="12"/>
  <c r="A658" i="12"/>
  <c r="A657" i="12"/>
  <c r="A656" i="12"/>
  <c r="A655" i="12"/>
  <c r="A654" i="12"/>
  <c r="A653" i="12"/>
  <c r="A652" i="12"/>
  <c r="A650" i="12"/>
  <c r="A649" i="12"/>
  <c r="A648" i="12"/>
  <c r="A647" i="12"/>
  <c r="A645" i="12"/>
  <c r="A644" i="12"/>
  <c r="A643" i="12"/>
  <c r="A642" i="12"/>
  <c r="A640" i="12"/>
  <c r="A639" i="12"/>
  <c r="A638" i="12"/>
  <c r="A637" i="12"/>
  <c r="A636" i="12"/>
  <c r="A635" i="12"/>
  <c r="A634" i="12"/>
  <c r="A633" i="12"/>
  <c r="A632" i="12"/>
  <c r="A631" i="12"/>
  <c r="A630" i="12"/>
  <c r="A629" i="12"/>
  <c r="A628" i="12"/>
  <c r="A627" i="12"/>
  <c r="A624" i="12"/>
  <c r="A623" i="12"/>
  <c r="A622" i="12"/>
  <c r="A621" i="12"/>
  <c r="A620" i="12"/>
  <c r="A618" i="12"/>
  <c r="A617" i="12"/>
  <c r="A616" i="12"/>
  <c r="A615" i="12"/>
  <c r="A614" i="12"/>
  <c r="A613" i="12"/>
  <c r="A612" i="12"/>
  <c r="A611" i="12"/>
  <c r="A610" i="12"/>
  <c r="A609" i="12"/>
  <c r="A608" i="12"/>
  <c r="A607" i="12"/>
  <c r="A606" i="12"/>
  <c r="A605" i="12"/>
  <c r="A604" i="12"/>
  <c r="A603" i="12"/>
  <c r="A602" i="12"/>
  <c r="A601" i="12"/>
  <c r="A600" i="12"/>
  <c r="A599" i="12"/>
  <c r="A598" i="12"/>
  <c r="A597" i="12"/>
  <c r="A596" i="12"/>
  <c r="A595" i="12"/>
  <c r="A594" i="12"/>
  <c r="A593" i="12"/>
  <c r="A592" i="12"/>
  <c r="A591" i="12"/>
  <c r="A590" i="12"/>
  <c r="A589" i="12"/>
  <c r="A588" i="12"/>
  <c r="A587" i="12"/>
  <c r="A586" i="12"/>
  <c r="A585" i="12"/>
  <c r="A584" i="12"/>
  <c r="A583" i="12"/>
  <c r="A582" i="12"/>
  <c r="A581" i="12"/>
  <c r="A580" i="12"/>
  <c r="A579" i="12"/>
  <c r="A578" i="12"/>
  <c r="A577" i="12"/>
  <c r="A576" i="12"/>
  <c r="A575" i="12"/>
  <c r="A574" i="12"/>
  <c r="A573" i="12"/>
  <c r="A572" i="12"/>
  <c r="A571" i="12"/>
  <c r="A569" i="12"/>
  <c r="A568" i="12"/>
  <c r="A567" i="12"/>
  <c r="A566" i="12"/>
  <c r="A565" i="12"/>
  <c r="A564" i="12"/>
  <c r="A563" i="12"/>
  <c r="A562" i="12"/>
  <c r="A560" i="12"/>
  <c r="A559" i="12"/>
  <c r="A558" i="12"/>
  <c r="A557" i="12"/>
  <c r="A556" i="12"/>
  <c r="A555" i="12"/>
  <c r="A554" i="12"/>
  <c r="A553" i="12"/>
  <c r="A552" i="12"/>
  <c r="A551" i="12"/>
  <c r="A550" i="12"/>
  <c r="A549" i="12"/>
  <c r="A548" i="12"/>
  <c r="A547" i="12"/>
  <c r="A546" i="12"/>
  <c r="A545" i="12"/>
  <c r="A544" i="12"/>
  <c r="A543" i="12"/>
  <c r="A542" i="12"/>
  <c r="A541" i="12"/>
  <c r="A540" i="12"/>
  <c r="A539" i="12"/>
  <c r="A538" i="12"/>
  <c r="A537" i="12"/>
  <c r="A536" i="12"/>
  <c r="A535" i="12"/>
  <c r="A534" i="12"/>
  <c r="A533" i="12"/>
  <c r="A532" i="12"/>
  <c r="A531" i="12"/>
  <c r="A530" i="12"/>
  <c r="A529" i="12"/>
  <c r="A528" i="12"/>
  <c r="A527" i="12"/>
  <c r="A526" i="12"/>
  <c r="A525" i="12"/>
  <c r="A524" i="12"/>
  <c r="A523" i="12"/>
  <c r="A522" i="12"/>
  <c r="A521" i="12"/>
  <c r="A519" i="12"/>
  <c r="A518" i="12"/>
  <c r="A517" i="12"/>
  <c r="A516" i="12"/>
  <c r="A515" i="12"/>
  <c r="A514" i="12"/>
  <c r="A513" i="12"/>
  <c r="A512" i="12"/>
  <c r="A511" i="12"/>
  <c r="A510" i="12"/>
  <c r="A508" i="12"/>
  <c r="A507" i="12"/>
  <c r="A506" i="12"/>
  <c r="A505" i="12"/>
  <c r="A504" i="12"/>
  <c r="A503" i="12"/>
  <c r="A502" i="12"/>
  <c r="A500" i="12"/>
  <c r="A499" i="12"/>
  <c r="A498" i="12"/>
  <c r="A497" i="12"/>
  <c r="A495" i="12"/>
  <c r="A493" i="12"/>
  <c r="A490" i="12"/>
  <c r="A489" i="12"/>
  <c r="A488" i="12"/>
  <c r="A487" i="12"/>
  <c r="A486" i="12"/>
  <c r="A485" i="12"/>
  <c r="A484" i="12"/>
  <c r="A483" i="12"/>
  <c r="A482" i="12"/>
  <c r="A481" i="12"/>
  <c r="A480" i="12"/>
  <c r="A479" i="12"/>
  <c r="A478" i="12"/>
  <c r="A477" i="12"/>
  <c r="A476" i="12"/>
  <c r="A475" i="12"/>
  <c r="A474" i="12"/>
  <c r="A473" i="12"/>
  <c r="A472" i="12"/>
  <c r="A471" i="12"/>
  <c r="A470" i="12"/>
  <c r="A469" i="12"/>
  <c r="A468" i="12"/>
  <c r="A467" i="12"/>
  <c r="A466" i="12"/>
  <c r="A465"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403" i="12"/>
  <c r="A402" i="12"/>
  <c r="A401" i="12"/>
  <c r="A400" i="12"/>
  <c r="A399" i="12"/>
  <c r="A398" i="12"/>
  <c r="A397" i="12"/>
  <c r="A396" i="12"/>
  <c r="A395" i="12"/>
  <c r="A394" i="12"/>
  <c r="A393" i="12"/>
  <c r="A392" i="12"/>
  <c r="A391" i="12"/>
  <c r="A390" i="12"/>
  <c r="A389" i="12"/>
  <c r="A388" i="12"/>
  <c r="A387" i="12"/>
  <c r="A386" i="12"/>
  <c r="A385" i="12"/>
  <c r="A384"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58" i="12"/>
  <c r="A357" i="12"/>
  <c r="A356" i="12"/>
  <c r="A355" i="12"/>
  <c r="A354" i="12"/>
  <c r="A353" i="12"/>
  <c r="A352" i="12"/>
  <c r="A351" i="12"/>
  <c r="A350" i="12"/>
  <c r="A349" i="12"/>
  <c r="A348" i="12"/>
  <c r="A347" i="12"/>
  <c r="A346" i="12"/>
  <c r="A345" i="12"/>
  <c r="A344" i="12"/>
  <c r="A343" i="12"/>
  <c r="A342" i="12"/>
  <c r="A341" i="12"/>
  <c r="A339" i="12"/>
  <c r="A338" i="12"/>
  <c r="A337" i="12"/>
  <c r="A335" i="12"/>
  <c r="A334" i="12"/>
  <c r="A333" i="12"/>
  <c r="A332" i="12"/>
  <c r="A331" i="12"/>
  <c r="A330" i="12"/>
  <c r="A329" i="12"/>
  <c r="A328" i="12"/>
  <c r="A327" i="12"/>
  <c r="A325" i="12"/>
  <c r="A323"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93" i="12"/>
  <c r="A292" i="12"/>
  <c r="A291" i="12"/>
  <c r="A289" i="12"/>
  <c r="A288" i="12"/>
  <c r="A286" i="12"/>
  <c r="A285" i="12"/>
  <c r="A284" i="12"/>
  <c r="A283" i="12"/>
  <c r="A282" i="12"/>
  <c r="A281" i="12"/>
  <c r="A280" i="12"/>
  <c r="A279" i="12"/>
  <c r="A278" i="12"/>
  <c r="A277" i="12"/>
  <c r="A276" i="12"/>
  <c r="A275" i="12"/>
  <c r="A273" i="12"/>
  <c r="A271" i="12"/>
  <c r="A270" i="12"/>
  <c r="A269" i="12"/>
  <c r="A268" i="12"/>
  <c r="A266" i="12"/>
  <c r="A264" i="12"/>
  <c r="A263" i="12"/>
  <c r="A262" i="12"/>
  <c r="A261" i="12"/>
  <c r="A260" i="12"/>
  <c r="A259" i="12"/>
  <c r="A258" i="12"/>
  <c r="A257" i="12"/>
  <c r="A255" i="12"/>
  <c r="A253" i="12"/>
  <c r="A252" i="12"/>
  <c r="A251" i="12"/>
  <c r="A250" i="12"/>
  <c r="A249" i="12"/>
  <c r="A248" i="12"/>
  <c r="A247" i="12"/>
  <c r="A246" i="12"/>
  <c r="A245" i="12"/>
  <c r="A244" i="12"/>
  <c r="A243" i="12"/>
  <c r="A242" i="12"/>
  <c r="A241" i="12"/>
  <c r="A240" i="12"/>
  <c r="A239" i="12"/>
  <c r="A237" i="12"/>
  <c r="A235" i="12"/>
  <c r="A234" i="12"/>
  <c r="A233" i="12"/>
  <c r="A232" i="12"/>
  <c r="A231" i="12"/>
  <c r="A23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2" i="12"/>
  <c r="A201" i="12"/>
  <c r="A200" i="12"/>
  <c r="A199" i="12"/>
  <c r="A198" i="12"/>
  <c r="A197" i="12"/>
  <c r="A196" i="12"/>
  <c r="A195" i="12"/>
  <c r="A194" i="12"/>
  <c r="A193" i="12"/>
  <c r="A192" i="12"/>
  <c r="A191" i="12"/>
  <c r="A190" i="12"/>
  <c r="A189" i="12"/>
  <c r="A188" i="12"/>
  <c r="A187" i="12"/>
  <c r="A186" i="12"/>
  <c r="A185" i="12"/>
  <c r="A184" i="12"/>
  <c r="A183" i="12"/>
  <c r="A182" i="12"/>
  <c r="A181" i="12"/>
  <c r="A180" i="12"/>
  <c r="A179" i="12"/>
  <c r="A178" i="12"/>
  <c r="A177" i="12"/>
  <c r="A176" i="12"/>
  <c r="A175" i="12"/>
  <c r="A174" i="12"/>
  <c r="A173" i="12"/>
  <c r="A172" i="12"/>
  <c r="A171" i="12"/>
  <c r="A169" i="12"/>
  <c r="A168" i="12"/>
  <c r="A167" i="12"/>
  <c r="A166" i="12"/>
  <c r="A165" i="12"/>
  <c r="A164"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2" i="12"/>
  <c r="A111" i="12"/>
  <c r="A110" i="12"/>
  <c r="A109" i="12"/>
  <c r="A108" i="12"/>
  <c r="A107" i="12"/>
  <c r="A105" i="12"/>
  <c r="A103" i="12"/>
  <c r="A102" i="12"/>
  <c r="A101" i="12"/>
  <c r="A100" i="12"/>
  <c r="A99" i="12"/>
  <c r="A97" i="12"/>
  <c r="A94" i="12"/>
  <c r="A93" i="12"/>
  <c r="A92" i="12"/>
  <c r="A91" i="12"/>
  <c r="A90" i="12"/>
  <c r="A89" i="12"/>
  <c r="A88" i="12"/>
  <c r="A87" i="12"/>
  <c r="A86" i="12"/>
  <c r="A85" i="12"/>
  <c r="A84" i="12"/>
  <c r="A83" i="12"/>
  <c r="A82" i="12"/>
  <c r="A81" i="12"/>
  <c r="A80" i="12"/>
  <c r="A79" i="12"/>
  <c r="A78" i="12"/>
  <c r="A77" i="12"/>
  <c r="A76" i="12"/>
  <c r="A74" i="12"/>
  <c r="A73" i="12"/>
  <c r="A72" i="12"/>
  <c r="A70" i="12"/>
  <c r="A69" i="12"/>
  <c r="A68" i="12"/>
  <c r="A67" i="12"/>
  <c r="A66" i="12"/>
  <c r="A65" i="12"/>
  <c r="A64" i="12"/>
  <c r="A63" i="12"/>
  <c r="A62" i="12"/>
  <c r="A61" i="12"/>
  <c r="A60" i="12"/>
  <c r="A59" i="12"/>
  <c r="A58" i="12"/>
  <c r="A57" i="12"/>
  <c r="A56" i="12"/>
  <c r="A55" i="12"/>
  <c r="A54" i="12"/>
  <c r="A53" i="12"/>
  <c r="A52" i="12"/>
  <c r="A51" i="12"/>
  <c r="A49" i="12"/>
  <c r="A48" i="12"/>
  <c r="A47" i="12"/>
  <c r="A46" i="12"/>
  <c r="A45" i="12"/>
  <c r="A44" i="12"/>
  <c r="A43" i="12"/>
  <c r="A42" i="12"/>
  <c r="A41" i="12"/>
  <c r="A40" i="12"/>
  <c r="A39" i="12"/>
  <c r="A38" i="12"/>
  <c r="A37" i="12"/>
  <c r="A36" i="12"/>
  <c r="A35" i="12"/>
  <c r="A34" i="12"/>
  <c r="A33" i="12"/>
  <c r="A32" i="12"/>
  <c r="A31" i="12"/>
  <c r="A30" i="12"/>
  <c r="A28" i="12"/>
  <c r="A27" i="12"/>
  <c r="A26" i="12"/>
  <c r="A25" i="12"/>
  <c r="A24" i="12"/>
  <c r="A23" i="12"/>
  <c r="A22" i="12"/>
  <c r="A21" i="12"/>
  <c r="A20" i="12"/>
  <c r="A19" i="12"/>
  <c r="A18" i="12"/>
  <c r="A17" i="12"/>
  <c r="A15" i="12"/>
  <c r="A14" i="12"/>
  <c r="A13" i="12"/>
  <c r="A12" i="12"/>
  <c r="A11" i="12"/>
  <c r="A10" i="12"/>
  <c r="A9" i="12"/>
  <c r="A8" i="12"/>
  <c r="A7" i="12"/>
  <c r="A5" i="12"/>
  <c r="A4" i="12"/>
  <c r="A3" i="12"/>
</calcChain>
</file>

<file path=xl/sharedStrings.xml><?xml version="1.0" encoding="utf-8"?>
<sst xmlns="http://schemas.openxmlformats.org/spreadsheetml/2006/main" count="8030" uniqueCount="1883">
  <si>
    <t>5</t>
  </si>
  <si>
    <t>Naturaleza</t>
  </si>
  <si>
    <t>Apelación a la negación</t>
  </si>
  <si>
    <t>Titular</t>
  </si>
  <si>
    <t>NIZA</t>
  </si>
  <si>
    <t>MALTAVITAN</t>
  </si>
  <si>
    <t/>
  </si>
  <si>
    <t>Nominativa</t>
  </si>
  <si>
    <t>No</t>
  </si>
  <si>
    <t>SI</t>
  </si>
  <si>
    <t>Pieter Carl Alexander Heshusius Florez, Carrera 15 # 79-36 of 301, BOGOTÁ, D.C. 00001, CO</t>
  </si>
  <si>
    <t xml:space="preserve">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t>
  </si>
  <si>
    <t>Nucleomax</t>
  </si>
  <si>
    <t>Mixta</t>
  </si>
  <si>
    <t xml:space="preserve"> Ferrer Internacional, S.A., Av. Diagonal 549, BARCELONA, BARCELONA E-08029, ES</t>
  </si>
  <si>
    <t xml:space="preserve">5. Preparaciones farmacéuticas excluidas las veterinarias; preparaciones sanitarias para uso médico; sustancias dietéticas adaptadas para uso médico, alimento para bebés; desinfectantes.
</t>
  </si>
  <si>
    <t xml:space="preserve">idime </t>
  </si>
  <si>
    <t>Sí</t>
  </si>
  <si>
    <t>Grupo Diagnóstico S.A. Dimed S.A.</t>
  </si>
  <si>
    <t>NO</t>
  </si>
  <si>
    <t>INSTITUTO DE DIAGNÓSTICO MÉDICO S.A. IDIME S.A., CALLE 76 No. 13-46, BOGOTÁ, D.C., CO</t>
  </si>
  <si>
    <t>La Marque</t>
  </si>
  <si>
    <t>Juan Jose Botero Duque, Calle 31 # 41 80, MEDELLIN, ANTIOQUIA, CO</t>
  </si>
  <si>
    <t>3, 5</t>
  </si>
  <si>
    <t xml:space="preserve">3. Preparaciones para blanquear y otras sustancias para lavar la ropa; jabones no medicinales; productos de perfumería, aceites esenciales, cosméticos no medicinales, lociones capilares no medicinales; Aceites para perfumes y fragancias; bases para perfumes de flores; colonias, perfumes y productos cosméticos; difusores de perfumes de ambiente con varillas; espráis utilizados como desodorantes y perfumes corporales; perfumes; perfumes líquidos; perfumes para uso industrial; perfumes sólidos; perfumes y aguas de colonia; perfumes y aguas de tocador; perfumes y colonias; perfumes, aguas de colonia y productos para después del afeitado; preparaciones ambientadoras (perfumes); productos de fumigación [perfumes]; productos de perfumería, fragancias e incienso que no sean perfumes para uso personal; aceites esenciales en cuanto perfumes de lavandería; recambios de perfumes para difusores de aceites esenciales enchufables; recambios de perfumes para difusores electrónicos de aceites esenciales; abrillantadores y cremas para el cuero; bases de maquillaje en crema; bálsamos [cremas] para disimular las imperfecciones de la piel; bálsamos de belleza (cremas); cosméticos en forma de cremas; crema corporal; crema corporal para uso cosmético; crema en gel para matificar la piel; crema para las manos; crema para peinar el cabello; crema lavamanos; crema para aclarar la piel; cremas acondicionadoras para la piel, de uso cosmético; cremas autobronceadoras; cremas bronceadoras.
5. Productos farmacéuticos, preparaciones para uso médico; productos higiénicos y sanitarios para uso médico; emplastos, material para apósitos; material para empastes e improntas dentales; desinfectantes; productos para eliminar animales dañinos; fungicidas, herbicidas. Alcohol isopropílico [isopropanol] para uso médico; alcohol para uso farmacéutico; alcohol para uso tópico; alcoholes medicinales; bastoncillos con alcohol para uso médico; artículos absorbentes para la higiene personal; preparaciones sanitarias de higiene personal que no sean productos de tocador.
</t>
  </si>
  <si>
    <t>KRATOS</t>
  </si>
  <si>
    <t xml:space="preserve"> AGRO VALLEY S.A.S., Carrera 9° N° 60- 69 Of. 608, BOGOTÁ, D.C., CO</t>
  </si>
  <si>
    <t xml:space="preserve">5. Acaricidas, fungicidas, herbicidas, insecticidas.
</t>
  </si>
  <si>
    <t>WABI</t>
  </si>
  <si>
    <t>THE COCA-COLA COMPANY</t>
  </si>
  <si>
    <t xml:space="preserve"> THE TRACE CO. SAS, Cra. 18 C No. 109-19, BOGOTÁ, D.C., CO</t>
  </si>
  <si>
    <t>3, 5, 44</t>
  </si>
  <si>
    <t xml:space="preserve">3. Champús no medicinales para animales de compañía [preparaciones de aseo, que no sean para uso veterinario].
5. Aditivos alimentarios medicinales para uso veterinario; alimentos complementarios para uso veterinario; alimentos dietéticos para uso veterinario; ungüentos para uso farmacéutico; productos farmacéuticos; preparaciones farmacéuticas para uso humano; preparaciones farmacéuticas para el cuidado de la salud; preparaciones farmacéuticas para el tratamiento de afecciones cutáneas.
44. Servicios de información y consultoría en productos biofarmacéuticos; servicios de información y consultas por internet sobre productos farmacéuticos; servicios de cuidado de mascotas [servicios médicos, veterinarios y de aseo]; servicios médicos y veterinarios; servicios de asesoramiento sobre productos farmacéuticos.
</t>
  </si>
  <si>
    <t>CENTAURO ULTRA</t>
  </si>
  <si>
    <t>LUZ MARINA CASTAÑO VARGAS, Carrera 83 No. 6 A - 32, CALI, VALLE DEL CAUCA, CO</t>
  </si>
  <si>
    <t xml:space="preserve">5. Suplementos alimenticios para personas.
</t>
  </si>
  <si>
    <t>AFRODITA BY VANESA MATIZ</t>
  </si>
  <si>
    <t>MIGUEL DELIO MONTES MONTES</t>
  </si>
  <si>
    <t>GENIVERA DE JESÚS CARVAJAL AREIZA</t>
  </si>
  <si>
    <t xml:space="preserve"> MATIZ MSC SAS, CALLE 30 1C-67 , FLORENCIA, CAQUETA, CO</t>
  </si>
  <si>
    <t xml:space="preserve">5. Cápsulas a base de hierbas para potenciar la sexualidad masculina; geles de estimulación sexual; lubricantes sexuales; lubricantes sexuales a base de aloe vera; preparaciones de diagnóstico o tratamiento de trastornos relacionados con la fertilidad y reproducción sexual; preparaciones para aumentar el deseo sexual; preparaciones para aumentar la excitación sexual; preparaciones para mejorar la prestación sexual; preparaciones para reducir la actividad sexual; preparados inyectables para el tratamiento de la impotencia sexual; preparados para aumentar el deseo sexual; preparados para aumentar la excitación sexual; preparados para mejorar la prestación sexual; preparados para mejorar la prestación sexual.
</t>
  </si>
  <si>
    <t>EYVUE</t>
  </si>
  <si>
    <t xml:space="preserve"> Allergan Sales, LLC , 5 Giralda Farms, Madison, New Jersey 07940, MADISON, NEW JERSEY, US</t>
  </si>
  <si>
    <t xml:space="preserve">5. Gotas oftálmicas; preparaciones oftálmicas; preparaciones farmacéuticas para el tratamiento de enfermedades y afecciones oftálmicas; preparaciones farmacéuticas para el tratamiento de afecciones oftálmicas; preparaciones farmacéuticas para el tratamiento de la presbicia.
</t>
  </si>
  <si>
    <t>Marigold HEALT &amp; CARE</t>
  </si>
  <si>
    <t>Yuly alexandra Upegui Durango, cr 91 36 50 apto 301, MEDELLIN, ANTIOQUIA 050032, CO</t>
  </si>
  <si>
    <t xml:space="preserve">ZELEN TU COPA MENSTRUAL PROFAMILIA </t>
  </si>
  <si>
    <t xml:space="preserve"> ASOCIACIÓN PRO-BIENESTAR DE LA FAMILIA COLOMBIANA - PROFAMILIA, CALLE 34 No 14 - 52, BOGOTÁ, D.C., CO</t>
  </si>
  <si>
    <t xml:space="preserve">3. Cosméticos de belleza; cosméticos en forma de cremas; cosméticos para el cuidado del cuerpo; jabón de baño.
5. Medicamentos para ajustar el ciclo menstrual; medicamentos para regular el ciclo menstrual; geles de estimulación sexual; lubricantes sexuales; lubricantes sexuales a base de aloe vera; preparaciones de diagnóstico o tratamiento de trastornos relacionados con la fertilidad y reproducción sexual; preparaciones para aumentar el deseo sexual; lubricantes vaginales [preparaciones higiénicas]; preparaciones farmacéuticas para el tratamiento de las infecciones urovaginales; preparados farmacéuticos para el tratamiento de las infecciones urovaginales; supositorios vaginales para la prevención y el tratamiento de infecciones.
</t>
  </si>
  <si>
    <t>CUTENOX</t>
  </si>
  <si>
    <t>NORDIC PHARMACEUTICAL COMPANY S.A.C.</t>
  </si>
  <si>
    <t xml:space="preserve"> NEXT PHARMA SOURCING S.A.S., Calle 95 # 14-45 oficina 601, BOGOTÁ, D.C., CO</t>
  </si>
  <si>
    <t xml:space="preserve">5. Productos farmacéuticos.
</t>
  </si>
  <si>
    <t>JÚPITER</t>
  </si>
  <si>
    <t xml:space="preserve"> JÚPITER COMPANY SOCIEDAD ANÓNIMA , HILARIO CABRERA 7281, MONTEVIDEO, URUGUAY, MONTEVIDEO, MONTEVIDEO, UY</t>
  </si>
  <si>
    <t xml:space="preserve">3. FRAGANCIAS DE USO PERSONAL Y PARA EL HOGAR, GELES DE DUCHA, CHAMPÚES, ACONDICIONADORES Y ENJUAGUES PARA EL CABELLO, DESODORANTES Y ANTETRANSPIRANTES DE USO PERSONAL; PREPARACIONES PARA LIMPIAR Y AROMATIZAR, JABONES LÍQUIDOS, EN POLVO Y EN BARRA, PRODUCTOS LIMPIADORES, BLANQUEADORES y SUAVIZANTES, LEJÍA, DETERGENTES, CERAS, PULIDORES Y ABRASIVOS.
5. ALCOHOLES MEDICINALES, DESINFECTANTES, DESODORIZANTES DE AMBIENTES; INSECTICIDAS Y PLAGUICIDAS.
</t>
  </si>
  <si>
    <t>Figurativa</t>
  </si>
  <si>
    <t xml:space="preserve"> RAINBOW AGROSCIENCES SAS, cra 11a 93a 80, BOGOTÁ, D.C., CO</t>
  </si>
  <si>
    <t>5, 35</t>
  </si>
  <si>
    <t xml:space="preserve">5. Fungicidas; fungicidas biológicos; fungicidas para uso agrícola; fungicidas, herbicidas; preparaciones herbicidas y plaguicidas; insecticidas para uso agrícola.
35. Administración de ventas; gestión de ventas; negociación de contratos en relación con la compra y la venta de productos; presentación de productos en cualquier medio de comunicación para su venta minorista.
</t>
  </si>
  <si>
    <t>COLOMBIHARINA</t>
  </si>
  <si>
    <t>PAMPA S.A.S.</t>
  </si>
  <si>
    <t xml:space="preserve"> Colombina S.A., Corregimiento de la paila,, ZARZAL, VALLE DEL CAUCA, CO</t>
  </si>
  <si>
    <t>5, 30</t>
  </si>
  <si>
    <t xml:space="preserve">5. Alimentos para bebés.
30. Harinas, productos alimenticios en los que predomina la harina; productos de confitería a base de harinas, preparaciones a base de cereales, harina de quinua; granos integrales, quinua, quinoa.
</t>
  </si>
  <si>
    <t>XEBINA</t>
  </si>
  <si>
    <t xml:space="preserve"> BIOTOSCANA FARMA S.A., CARRERA 69 B No. 20-46 BODEGA 12, ZONA INDUSTRIAL MONTEVIDEO, BOGOTÁ, COLOMBIA, BOGOTÁ, D.C., CO</t>
  </si>
  <si>
    <t xml:space="preserve">5. Productos farmacéuticos antineoplásicos.
</t>
  </si>
  <si>
    <t>COLAFISH</t>
  </si>
  <si>
    <t xml:space="preserve"> LABORATORIOS BIOPRONAT SAS, CRA 51 3 75, BOGOTÁ, D.C., CO</t>
  </si>
  <si>
    <t xml:space="preserve">5. Suplementos alimenticios; suplementos alimenticios dietéticos; suplementos alimenticios minerales; suplementos alimenticios para humanos; suplementos alimenticios para seres humanos; suplementos alimenticios probióticos; suplementos dietéticos; suplementos nutricionales; suplementos probióticos; suplementos y preparaciones dietéticas; suplementos y preparaciones nutricionales.
</t>
  </si>
  <si>
    <t>Nova Pharmaceutical</t>
  </si>
  <si>
    <t xml:space="preserve"> COMERCIALIZADORA NATURAL LIGHT S.A.S , Calle 67 #19-22, BOGOTÁ, D.C., CO</t>
  </si>
  <si>
    <t xml:space="preserve">3. Exfoliantes faciales y corporales no medicamentosos; lociones capilares reparadoras no medicamentosas; preparaciones capilares no medicamentosas; preparaciones cosméticas no medicamentosas para tratamientos capilares; preparaciones de cuidado corporal no medicamentosas; preparaciones limpiadoras no medicamentosas para la piel; productos no medicamentosos para refrescar el aliento; aceites destilados para el cuidado de belleza; cosméticos de belleza; cosméticos para tratamiento de belleza cosméticos para el cuidado de belleza; cremas bálsamos de belleza; cremas de belleza; cremas de belleza para el cuerpo; cremas de belleza para el rostro y el cuerpo; geles de belleza; leches de belleza; lociones de belleza; mascarillas de belleza; mascarillas de belleza para el cabello; mascarillas de belleza para el contorno de los ojos; mascarillas de belleza para las manos; mascarillas faciales de belleza; preparaciones de cuidado corporal y de belleza para uso cosmético; preparaciones para cuidados corporales y de belleza; preparaciones para el cuidado del cuerpo y la belleza; preparaciones para el cuidado y la belleza personal; productos cosméticos y de belleza; sueros de belleza.
5. Cremas labiales medicamentosas; cremas medicamentosas para hidratar la piel; cremas medicamentosas para la hidratación de la piel; medicamentos a base de hierbas; medicamentos antitranspirantes; medicamentos fitoterapéuticos para el consumo humano; alimentos a base de albúmina para uso médico; alimentos para diabéticos; alimentos y bebidas dietéticos para uso médico; aislados de proteína de suero de leche [suplementos dietéticos]; aislados de proteína de suero de leche en cuanto suplementos dietéticos; antioxidantes [suplementos dietéticos]; barras energéticas utilizadas como suplementos dietéticos; batidos a base de suplementos proteínicos para aumentar de peso; batidos de leche en cuanto suplementos proteínicos;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hidrolizados de proteína de suero de leche [suplementos dietéticos]; hidrolizados de proteína de suero de leche en cuanto suplementos dietéticos; preparaciones y suplementos nutricionales para la salud;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suplementos alimenticios; suplementos alimenticios a base de albúmina; suplementos alimenticios a base de aminoácidos; suplementos alimenticios a base de enzimas; suplementos alimenticios a base de germen de trigo; suplementos alimenticios a base de jalea real; suplementos alimenticios a base de lecitina; suplementos alimenticios a base de levadura; suplementos alimenticios a base de minerales; suplementos alimenticios a base de oligoelementos; suplementos alimenticios a base de polen; suplementos alimenticios a base de propóleos; suplementos alimenticios a base de yacón; suplementos alimenticios compuestos de aminoácidos; suplementos alimenticios dietéticos; suplementos alimenticios dietéticos a base de extractos de hierbas deshidratadas en cápsulas; suplementos alimenticios dietéticos en forma de polvo; suplementos alimenticios dietéticos en polvo; suplementos alimenticios en polvo a base de proteinas; suplementos alimenticios en polvo a base de proteínas vegetales; suplementos alimenticios medicinales a base de colágeno; suplementos alimenticios para humanos; suplementos alimenticios proteicos en polvo; suplementos de hierbas líquidos; suplementos de proteína de suero de leche; suplementos dietéticos a base de aminoácidos; suplementos dietéticos a base de calostro; suplementos dietéticos a base de hierbas; suplementos dietéticos compuestos principalmente de calcio; suplementos dietéticos compuestos principalmente de hierro; suplementos dietéticos con efecto cosmético; suplementos dietéticos en forma de polvo; suplementos dietéticos en forma líquida; suplementos dietéticos para el control del peso corporal; suplementos dietéticos y nutricionales; suplementos nutricionales líquidos; suplementos vitamínicos líquidos.
</t>
  </si>
  <si>
    <t>APOTHEKANNA</t>
  </si>
  <si>
    <t xml:space="preserve"> APOTHEKANNA S.A.S., CR 3 # 11- 32, CALI, VALLE DEL CAUCA, CO</t>
  </si>
  <si>
    <t>3, 5, 35</t>
  </si>
  <si>
    <t xml:space="preserve">3. Fragancias; aceites esenciales; aceites esenciales a base de cáñamo; aceites esenciales de aromaterapia; aceites esenciales naturales; aceites esenciales para uso cosmético; cremas cosméticas detoxificantes fitoactivas; preparaciones fito-cosméticas; aceites cosméticos; aceites para uso cosmético; cosméticos; cosméticos naturales; productos cosméticos de cbd; productos de perfumería, aceites esenciales, cosméticos, lociones capilares; cosméticos a base de cannabis; aceites de cáñamo a base de cbd para uso cosmético.
5. Productos farmacéuticos; productos farmacéuticos homeopáticos; productos farmacéuticos para uso humano; cannabis medicinal en forma de aceites para facilitar la administración de fármacos.
35. Servicios de publicidad en relación con productos farmacéuticos; servicio de distribución comercial en el ámbito de los cosméticos; servicios de distribución comercial al por mayor de productos cosméticos; servicios de publicidad en relación con productos cosméticos; servicios de venta minorista o mayorista de productos cosméticos; comercialización; comercialización de productos; comercialización por internet; servicios de presentación de productos de comercialización; creación de redes comerciales; promoción comercial de productos.
</t>
  </si>
  <si>
    <t>ARTICARE</t>
  </si>
  <si>
    <t xml:space="preserve"> HUMANCARE S.A.S., Calle 162 # 21-68, BOGOTÁ, D.C., CO</t>
  </si>
  <si>
    <t xml:space="preserve">3. Productos cosméticos no medicinales, jabones no medicinales, cosmecéuticos, productos de higiene doméstica, productos de perfumería, aceites esenciales, lociones capilares no medicinales, dentífricos no medicinales.
5. Productos farmacéuticos, preparaciones para uso médico como medicamentos, fitoterapéuticos y homeopáticos, productos higiénicos y sanitarios para uso médico, alimentos y sustancias dietéticas para uso médico, alimentos y complementos alimenticios para personas, suplementos dietarios, alimentos para propósito médico especial, productos absorbentes y de higiene personal.
</t>
  </si>
  <si>
    <t>MAMALINA</t>
  </si>
  <si>
    <t>BOOM SOY</t>
  </si>
  <si>
    <t xml:space="preserve"> SIEMPRE DISTRIBUCIONES S.A.S, Calle 6D #79a-56 interior 8 apto 269, BOGOTÁ, D.C. 110821, CO</t>
  </si>
  <si>
    <t>5, 29, 30</t>
  </si>
  <si>
    <t xml:space="preserve">5. Aditivos minerales para productos alimenticios de consumo humano; alimentos y suplementos alimenticios sin gluten, todos adecuados a fines médicos; antioxidantes utilizados como complementos alimenticios; antioxidantes utilizados como suplementos alimenticios; bacterias probióticas [complementos alimenticios]; bacterias probióticas [suplementos alimenticios]; bacterias probióticas en cuanto complementos alimenticios; bacterias probióticas en cuanto suplementos alimenticios; barras energéticas utilizadas como complementos alimenticios; bebidas de leche malteada en cuanto complementos alimenticios para bebés; bebidas de leche malteada en cuanto complementos alimenticios para minusválidos; bebidas de leche malteada en cuanto suplementos alimenticios para bebés; bebidas de leche malteada en cuanto suplementos alimenticios para minusválidos; bebidas nutricionales en cuanto complementos alimenticios; bebidas nutricionales en cuanto suplementos alimenticios; complementos alimenticios; complementos alimenticios a base de aceite de linaza; complementos alimenticios a base de aceite de lino; complementos alimenticios a base de albúmina; complementos alimenticios a base de alginatos; complementos alimenticios a base de aminoácidos; complementos alimenticios a base de caseína; complementos alimenticios a base de chlorella; complementos alimenticios a base de cáñamo; complementos alimenticios a base de enzimas; complementos alimenticios a base de germen de trigo; complementos alimenticios a base de glucosa; complementos alimenticios a base de isoflavona de soja; complementos alimenticios a base de jalea real; complementos alimenticios a base de kiwicha; complementos alimenticios a base de lecitina; complementos alimenticios a base de levadura; complementos alimenticios a base de levadura de cerveza; complementos alimenticios a base de linaza; complementos alimenticios a base de maca; complementos alimenticios a base de minerales; complementos alimenticios a base de oligoelementos; complementos alimenticios a base de polen; complementos alimenticios a base de polen de pino; complementos alimenticios a base de propóleos; complementos alimenticios a base de proteínas; complementos alimenticios a base de proteínas de soja; complementos alimenticios a base de proteínas vegetales en forma de polvo; complementos alimenticios a base de quinua; complementos alimenticios a base de semillas de lino; complementos alimenticios a base de yacón; complementos alimenticios antibióticos para animales; complementos alimenticios antioxidantes; complementos alimenticios compuestos de aminoácidos; complementos alimenticios de vitaminas y minerales; complementos alimenticios dietéticos; complementos alimenticios dietéticos a base de extractos de hierbas deshidratadas en cápsulas; complementos alimenticios dietéticos en cápsulas; complementos alimenticios dietéticos en cápsulas, que no sean para uso médico; complementos alimenticios dietéticos en forma de cápsulas para uso médico; complementos alimenticios dietéticos en forma de cápsulas, que no sean para uso médico; complementos alimenticios dietéticos en forma de gránulos; complementos alimenticios dietéticos en forma de gránulos para uso médico; complementos alimenticios dietéticos en forma de gránulos, que no sean para uso médico; complementos alimenticios dietéticos en forma de polvo; complementos alimenticios dietéticos en forma de polvo para uso médico; complementos alimenticios dietéticos en forma de polvo, que no sean para uso médico; complementos alimenticios dietéticos en gránulos; complementos alimenticios dietéticos en gránulos para uso médico; complementos alimenticios dietéticos en gránulos, que no sean para uso médico; complementos alimenticios dietéticos en polvo; complementos alimenticios dietéticos en polvo para uso médico; complementos alimenticios dietéticos en polvo, que no sean para uso médico; complementos alimenticios dietéticos para uso médico; complementos alimenticios dietéticos y sustancias dietéticas para uso médico; complementos alimenticios en polvo a base de cáñamo; complementos alimenticios en polvo a base de proteinas; complementos alimenticios en polvo a base de proteínas vegetales; complementos alimenticios medicinales a base de colágeno; complementos alimenticios medicinales para consumo humano; complementos alimenticios minerales; complementos alimenticios minerales para seres humanos; complementos alimenticios para animales; complementos alimenticios para animales de uso veterinario; complementos alimenticios para humanos; complementos alimenticios para personas; complementos alimenticios para personas o animales; complementos alimenticios para seres humanos; complementos alimenticios para uso farmacéutico; complementos alimenticios para uso farmacéutico y veterinario; complementos alimenticios para uso médico a base de aminoácidos, minerales y oligoelementos; complementos alimenticios para uso veterinario; complementos alimenticios probióticos; complementos alimenticios probióticos en cápsulas; complementos alimenticios proteicos en polvo; complementos alimenticios que no sean para uso médico; complementos alimenticios terapéuticos que contienen gingseng; complementos alimenticios terapéuticos que contienen gingseng rojo; complementos de oligoelementos para productos alimenticios de consumo humano; complementos de vitaminas para productos alimenticios de consumo humano; complementos medicinales para productos alimenticios de consumo humano; complementos nutricionales y alimenticios; complementos vitamínicos para productos alimenticios de consumo humano; estimulantes alimenticios para animales; leche malteada en cuanto complementos alimenticios para bebés; leche malteada en cuanto complementos alimenticios para minusválidos; leche malteada en cuanto complementos alimenticios para personas discapacitadas; leche malteada en cuanto complementos alimenticios para personas minusválidas;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complementos alimenticios; levadura de cerveza para ser utilizada como suplementos alimenticios; preparaciones de proteínas para uso en cuanto aditivos de productos alimenticios para el consumo humano para uso médico; preparaciones de proteínas para uso en cuanto aditivos de productos alimenticios para la alimentación humana para uso médico; preparaciones medicinales para uso en cuanto aditivos alimenticios para consumo humano; preparaciones proteicas para uso en cuanto aditivos de productos alimenticios para el consumo humano para uso médico; preparados alimenticios para bebés y lactantes; preparados alimenticios para bebés y niños pequeños; preparados de proteínas para uso en cuanto aditivos de productos alimenticios para el consumo humano para uso médico; preparados de proteínas para uso en cuanto aditivos de productos alimenticios para la alimentación humana para uso médico; preparados medicinales para uso en cuanto aditivos alimenticios para consumo humano; preparados proteicos para uso en cuanto aditivos de productos alimenticios para el consumo humano para uso médico; productos alimenticios de ginseng para uso médico; productos alimenticios de ginseng rojo para uso médico; productos alimenticios dietéticos enriquecidos con nutrientes para uso médico; productos alimenticios para la alimentación enteral; proteínas de suero de leche [complementos alimenticios]; proteínas de suero de leche [suplementos alimenticios]; proteínas de suero de leche en cuanto complementos alimenticios; proteínas de suero de leche en cuanto suplementos alimenticios;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oligoelementos para productos alimenticios de consumo humano; suplementos de vitaminas para productos alimenticios de consumo humano; suplementos medicinales para productos alimenticios de consumo humano; suplementos nutricionales y alimenticios; suplementos vitamínicos para productos alimenticios de consumo humano; supplementos alimenticios dietéticos en cápsulas; fermentos lácteos para uso farmacéutico; agentes de acción retardada, a saber, polvos que permiten la liberación controlada de ingredientes activos de una amplia gama de productos farmacéuticos; polvos antipulgas; polvos antipulgas para animales; polvos de pseudoginseng para uso médico; polvos medicinales para bebés; polvos medicinales para el cuerpo; polvos medicinales para los pies; polvos utilizados como sustitutos de las comidas para uso médico; aislados de proteína de suero de leche [complementos dietéticos]; aislados de proteína de suero de leche [suplementos dietéticos]; aislados de proteína de suero de leche en cuanto complementos dietéticos; aislados de proteína de suero de leche en cuanto suplementos dietéticos; alimentos dietéticos medicinales para animales; alimentos dietéticos para uso médico; alimentos dietéticos para uso veterinario; alimentos y bebidas dietéticos para uso médico; alimentos y bebidas dietéticos para uso médico o veterinario; alimentos y bebidas dietéticos para uso veterinario; antioxidantes [complementos dietéticos]; antioxidantes [suplementos dietéticos]; barras de probióticos utilizadas como suplementos dietéticos; barras energéticas utilizadas como suplementos dietéticos; bebidas medicinales en la forma de suplementos dietéticos para la desintoxicación del colon; bebidas medicinales en la forma de suplementos dietéticos para la desintoxicación del hígado; bebidas utilizadas como complementos dietéticos; cereales adaptados para minusválidos con fines dietéticos o médicos; complementos dietéticos; complementos dietéticos a base de acai en polvo; complementos dietéticos a base de aminoácidos; complementos dietéticos a base de minerales; complementos dietéticos a base de oligoelementos; complementos dietéticos a base de trigo; complementos dietéticos a base de zinc; complementos dietéticos con efecto cosmético; complementos dietéticos de carbón activado; complementos dietéticos de clorela; complementos dietéticos de vitaminas; complementos dietéticos de ácido fólico; complementos dietéticos en forma de golosinas para animales de compañía; complementos dietéticos en forma de polvo; complementos dietéticos en forma líquida; complementos dietéticos en polvo con sabor a frutas para elaborar bebidas; complementos dietéticos en polvo de esporas a base de ganoderma lucidum; complementos dietéticos naturales para tratar la claustrofobia; complementos dietéticos para animales de compañía; complementos dietéticos para animales de compañía, a saber, bebidas en polvo; complementos dietéticos para controlar el colesterol; complementos dietéticos para la alimentación humana; complementos dietéticos para niños; complementos dietéticos para personas y animales; complementos dietéticos y nutricionales; complementos nutricionales y dietéticos contra el envejecimiento del sistema inmunitario; complementos nutricionales y dietéticos para el alivio del estrés; complementos nutricionales y dietéticos para el fortalecimiento del sistema inmunitario; complementos nutricionales y dietéticos para la desintoxicación; concentrados de proteína de suero de leche [complementos dietéticos]; concentrados de proteína de suero de leche [suplementos dietéticos]; concentrados de proteína de suero de leche en cuanto complementos dietéticos; concentrados de proteína de suero de leche en cuanto suplementos dietéticos; fibra alimentaria como ingrediente para la fabricación de suplementos dietéticos; fibras de semillas de lino molidas utilizadas como complementos dietéticos; hidrolizados de proteína de suero de leche [complementos dietéticos]; hidrolizados de proteína de suero de leche [suplementos dietéticos]; hidrolizados de proteína de suero de leche en cuanto complementos dietéticos; hidrolizados de proteína de suero de leche en cuanto suplementos dietéticos; mezclas para bebidas en cuanto complementos dietéticos; mezclas para bebidas utilizadas como sustitutos de las comidas y complementos dietéticos para uso médico; nutracéuticos utilizados como complementos dietéticos; parches transdérmicos que facilitan el suministro de suplementos dietéticos; probióticos en cuanto complementos dietéticos; productos dietéticos para usos médicos especiales [dietas equilibradas]; productos dietéticos y complementos nutricionales para uso médico; productos dietéticos y suplementos nutricionales para uso médico; proteínas de suero [complementos dietéticos]; proteínas de suero de leche [suplementos dietéticos]; proteínas de suero de leche en cuanto suplementos dietéticos; proteínas de suero en cuanto complementos dietéticos; sucedáneos dietéticos del azúcar para uso médico; suplementos de hierbas y dietéticos para facilitar la producción de leche en animales lactantes;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vitaminas, minerales y antioxidantes en cuanto complementos nutricionales y dietéticos; vitaminas, minerales y antioxidantes en cuanto suplementos nutricionales y dietéticos; complementos de proteínas para animales; complementos de proteínas para personas; complementos de proteínas para seres humanos; fracción de proteínas plasmáticas (humana); proteínas de suero de leche [complementos nutricionales]; proteínas de suero de leche [suplementos nutricionales]; proteínas de suero de leche en cuanto complementos nutricionales; proteínas de suero de leche en cuanto suplementos nutricionales; proteínas de suero de leche en polvo [complementos nutricionales]; proteínas de suero de leche en polvo [suplementos nutricionales]; proteínas de suero de leche en polvo en cuanto complementos nutricionales; proteínas de suero de leche en polvo en cuanto suplementos nutricionales; proteínas humanas recombinantes en cuanto preparaciones bioquímicas para uso médico; proteínas humanas recombinantes en cuanto preparados bioquímicos para uso médico; proteínas recombinantes en cuanto preparaciones bioquímicas para uso veterinario; proteínas recombinantes en cuanto preparados bioquímicos para uso veterinario; suplementos de proteínas para animales; suplementos de proteínas para personas; suplementos de proteínas para seres humanos.
29. Conservas de productos alimenticios a base de carne; grasas comestibles para ser utilizadas en la fabricación industrial de productos alimenticios; productos alimenticios a base de pescado; productos alimenticios compuestos esencialmente de carne; productos alimenticios compuestos principalmente de carne; productos alimenticios en los que predominan la carne; sucedáneos de la carne para uso industrial en la fabricación de productos alimenticios; bebidas a base de productos lácteos; crema artificial [sucedáneos de productos lácteos]; dips [salsas cremosas] a base de productos lácteos; dips a base de productos lácteos; fermentos lácteos para uso culinario; huevos, leche y productos lácteos; leche y productos lácteos; leche, queso, mantequilla, yogur y otros productos lácteos; leche, quesos, mantequilla, yogur y otros productos lácteos; nata artificial [sucedáneos de productos lácteos]; pastas a base de productos lácteos para untar; postres a base de productos lácteos; postres lácteos que no sean helados cremosos o yogures helados; postres lácteos refrigerados; preparaciones para la elaboración de helados cremosos [productos lácteos]; productos lácteos; productos lácteos a base de sucedáneos de la leche; productos lácteos cultivados; productos lácteos en forma de pasta para la elaboración de batidos de leche; productos lácteos en forma de pasta para la elaboración de helados cremosos; productos lácteos en forma de pasta para la elaboración de yogures congelados; productos lácteos en polvo para la elaboración de batidos de leche; productos lácteos en polvo para la elaboración de helados cremosos; productos lácteos en polvo para la elaboración de yogures congelados; productos lácteos en polvo para uso como sustitutos de comidas; productos lácteos fermentados; productos lácteos y sucedáneos lácteos; productos lácteos y sustitutos lácteos; requesón [productos lácteos]; salsas para mojar de productos lácteos; sucedáneos de la leche para añadir al café en los que predominan los productos lácteos; sucedáneos de la leche para el café compuestos principalmente de productos lácteos; sucedáneos de la leche que no sean productos lácteos; sucedáneos de la nata [sucedáneos de productos lácteos]; sucedáneos de productos lácteos a base de larvas de insectos; sucedáneos de productos lácteos basados en insectos; yogures no lácteos; polvos para la elaboración de batidos de leche; compuestos de proteínas vegetales texturizadas utilizadas como sucedáneos de la carne; extensores cárnicos en forma de proteínas vegetales texturizadas; extensores cárnicos en forma de proteínas vegetales texturizadas no formadas; leche enriquecida con proteínas; proteínas vegetales no texturizadas utilizadas como extensores cárnicos; proteínas vegetales texturizadas utilizadas como extensores cárnicos; sucedáneos de la carne a base de proteínas; sucedáneos de la carne preparados a partir de granos de soja [proteínas de soja texturizadas]; sucedáneos de la carne preparados a partir de granos de soya [proteínas de soja texturizadas]; sucedáneos de la carne preparados a partir de verduras, hortalizas y legumbres [proteínas vegetales texturizadas].
30. Aderezos alimenticios; aderezos alimenticios [salsas]; aglutinantes para productos alimenticios; aliños alimenticios; aliños alimenticios [salsas]; glaseados para productos alimenticios; helados alimenticios vegetales; productos alimenticios a base de maíz; productos alimenticios elaborados principalmente a partir de cereales; productos alimenticios en los que predomina la harina; productos alimenticios en los que predominan los cereales; productos de glaseado para productos alimenticios; helados cremosos lácteos; helados cremosos no lácteos; helados lácteos; helados no lácteos; monodosis llenos de helados cremosos lácteos; monodosis llenos de helados cremosos no lácteos; leche malteada en polvo utilizada en cuanto polvos de hornear; levadura, polvos de hornear; polvos azucarados con palitos de regaliz; polvos azucarados de limón [productos de confitería]; polvos de hornear; polvos para hacer natillas; polvos para la elaboración de sorbetes; polvos para la elaboración de yogures congelados; polvos para preparar crema inglesa; polvos para preparar helados cremosos; polvos para productos de pastelería y repostería; polvos para salsas; polvos y espesantes para helados; barritas de cereales ricas en proteínas; café enriquecido con proteínas; café enriquecido con proteínas que contiene proteínas de colágeno; café enriquecido con proteínas que contiene proteínas de suero.
</t>
  </si>
  <si>
    <t xml:space="preserve"> LIVA </t>
  </si>
  <si>
    <t xml:space="preserve"> SOPHIA HOLDINGS S.A. DE C.V., Avenida Paseo del Pacífico 670, Colonia Gualadajara Technology Park, Zapopan, Jalisco, México, C.P. 45010, ZAPOPAN, JALISCO, MX</t>
  </si>
  <si>
    <t xml:space="preserve">5. Soluciones oftálmicas; productos oftálmicos.
</t>
  </si>
  <si>
    <t>B BIONNABIS UNA PLANTA CON EL PODER DE CAMBIAR EL MUNDO</t>
  </si>
  <si>
    <t>LABORATORIOS NATURAL FRESHLY INFABO S A.S INSTITUTO FARMACOLOGICO BOTANICO S.A.S</t>
  </si>
  <si>
    <t xml:space="preserve"> INDUSTRIA CANNABICA DE COLOMBIA SAS, Calle 23G No. 82-14, BOGOTÁ, D.C., CO</t>
  </si>
  <si>
    <t xml:space="preserve">5. Aceites medicinales, bálsamos, cremas, infusiones, jabones medicinales, lociones, relajantes musculares, geles, ungüentos, suplementos y en general todo tipo de preparaciones cosméticas, medicinales y alimenticias con CBD y cannabis medicinal.
</t>
  </si>
  <si>
    <t>SANTA RITA COLOMBIHARINA</t>
  </si>
  <si>
    <t>AVICOLA SANTA RITA S.A.S.</t>
  </si>
  <si>
    <t xml:space="preserve"> PAMPA S.A.S, CARRERA 7 E BIS # 68-147, CALI, VALLE DEL CAUCA, CO</t>
  </si>
  <si>
    <t>5. ALIMENTOS DIETÉTICOS PARA USO MÉDICO; ALIMENTOS PARA BEBÉS; AZÚCAR PARA USO MÉDICO; BEBIDAS DIETÉTICAS PARA USO MÉDICO; CARNE LIOFILIZADA PARA USO MÉDICO; COMPLEMENTOS ALIMENTICIOS A BASE DE GERMEN DE TRIGO; COMPLEMENTOS ALIMENTICIOS A BASE DE GLUCOSA, SUPLEMENTOS ALIMENTICIOS A BASE DE GLUCOSA; COMPLEMENTOS ALIMENTICIOS A BASE DE LEVADURA; SUPLEMENTOS ALIMENTICIOS A BASE DE LEVADURA; COMPLEMENTOS ALIMENTICIOS A BASE DE PROTEÍNAS, COMPLEMENTOS ALIMENTICIOS MINERALES; COMPLEMENTOS NUTRICIONALES; SUSTANCIAS DIETÉTICAS PARA USO MÉDICO, HARINAS LACTEADAS PARA BEBÉS; LECHE EN POLVO PARA BEBÉS; PREPARACIONES ALIMENTICIAS PARA BEBÉS, PREPARACIONES DE VITAMINAS.</t>
  </si>
  <si>
    <t>WOUND COMPASS</t>
  </si>
  <si>
    <t xml:space="preserve"> T.J.Smith and Nephew,Limited, PO Box 81, 101 Hessle Road Hull HU3 2BN, GB</t>
  </si>
  <si>
    <t>5, 9</t>
  </si>
  <si>
    <t xml:space="preserve">5. Apósitos médicos y quirúrgicos; apósitos para heridas.
9. Software descargable para asistir a los profesionales del cuidado de la salud en el área de asesoramiento sobre heridas y tratamiento de heridas.
</t>
  </si>
  <si>
    <t>KANGUROO</t>
  </si>
  <si>
    <t>daniela patiño blanco, Calle 91 #13a-44, 602, BOGOTÁ, D.C. 110221, CO</t>
  </si>
  <si>
    <t xml:space="preserve">5. Productos a base de recursos naturales para la disfunción eréctil, energizantes sexuales y vigorizantes sexuales.
</t>
  </si>
  <si>
    <t>TruMune</t>
  </si>
  <si>
    <t xml:space="preserve"> CAN Technologies, Inc., 15407 McGinty Road West Wayzata, MN 55391 USA, WAYZATA, MINNESOTA, US</t>
  </si>
  <si>
    <t>5, 31</t>
  </si>
  <si>
    <t xml:space="preserve">5. Aditivos alimentarios para preparaciones veterinarias; suplementos nutricionales para alimentos de animales; complementos alimenticios para animales de uso veterinario; suplementos nutricionales no medicinales para alimentos para animales.
31. Alimentos para animales; alimentos para animales de compañía.
</t>
  </si>
  <si>
    <t>Knabico</t>
  </si>
  <si>
    <t xml:space="preserve"> HANNOVERSEAS SAS, Cl 129 A No. 93 51, BOGOTÁ, D.C., CO</t>
  </si>
  <si>
    <t xml:space="preserve">3. Productos cosméticos a base de cannabis.
5. Productos medicinales y farmacéuticos a base de cannabis.
</t>
  </si>
  <si>
    <t>L-LFT</t>
  </si>
  <si>
    <t>NORMA LILIANA ARIAS GALINDO, TV 15 N 40B - 05 PISO 1, SOACHA, CUNDINAMARCA, CO</t>
  </si>
  <si>
    <t xml:space="preserve">5. Preparaciones medicinales para adelgazar; gotas vitamínicas; preparaciones medicinales orales para su administración en forma de gotas; suplementos alimenticios dietéticos.
</t>
  </si>
  <si>
    <t>Cuettie</t>
  </si>
  <si>
    <t xml:space="preserve"> Guangzhou Sunda Supply Chain Management Limited , Room 003(office only), room 401, floor 4, building 31(building B), Colorland Center, No. 1, Cuiying Street, Nansha district, GUANGZHOU, GUANGDONG, CN</t>
  </si>
  <si>
    <t xml:space="preserve">5. Pañales para bebés, pañales para bebés, tampones sanitarios, toallas sanitarias, pantaletas sanitarias, champús medicados para mascotas, desinfectantes, alimentos para bebes, suplementos nutricionales, preparados nutracéuticos con fines terapéuticos o médicos, algodón antiséptico, pañales para mascotas, cambiadores de pañales, desechables, para bebés, pañales de natación, desechables, para bebés.
</t>
  </si>
  <si>
    <t>OSANA LIFE TE CUIDAMOS NATURALMENTE</t>
  </si>
  <si>
    <t>JUAN FELIPE  RESTREPO PÉREZ, Calle 71 Sur 43 B 63, SABANETA, ANTIOQUIA, CO</t>
  </si>
  <si>
    <t xml:space="preserve">5. Bebidas nutricionales enriquecidas con vitaminas para uso dietético; complementos alimenticios de vitaminas y minerales; complementos de vitaminas para productos alimenticios de consumo humano; complementos dietéticos de vitaminas; comprimidos de vitaminas; multivitaminas; preparaciones de vitaminas*; suplementos de vitaminas para productos alimenticios de consumo humano; sustancias dietéticas de vitaminas, minerales, aminoácidos y oligoelementos; sustancias dietéticas de vitaminas, minerales, aminoácidos y oligoelementos, ya sean por separado o combinadas; vitaminas; vitaminas para adultos; vitaminas para embarazadas; vitaminas para niños; preparaciones y suplementos nutricionales para la salud; productos dietéticos y suplementos nutricionales para uso médico; proteínas de suero de leche [suplementos nutricionales]; proteínas de suero de leche en cuanto suplementos nutricionales; proteínas de suero de leche en polvo [suplementos nutricionales]; proteínas de suero de leche en polvo en cuanto suplementos nutricionales; suplementos nutricionales; suplementos nutricionales compuestos principalmente de calcio; suplementos nutricionales líquidos.
</t>
  </si>
  <si>
    <t xml:space="preserve">vittamol farmacia orthomolecular </t>
  </si>
  <si>
    <t xml:space="preserve"> VITTAMOL FARMACEUTICA SAS, CLL 14N # 7-16, POPAYAN, CAUCA 00019, CO</t>
  </si>
  <si>
    <t>Amazon Organics ¡ Amamos lo natural !</t>
  </si>
  <si>
    <t>ANDRÉS MAURICIO AGUIRRE MUÑOZ, VEREDA LAS PLANADAS, MOCOA, PUTUMAYO 860001, CO</t>
  </si>
  <si>
    <t>1, 5, 31, 44</t>
  </si>
  <si>
    <t xml:space="preserve">1. Abonos orgánicos, estiércol y fertilizantes; abonos, fertilizantes para césped y pasto; biofertilizantes; biofertilizantes no químicos; compost [fertilizante]; compost, estiércol y fertilizantes; fertilizantes; fertilizantes [estiércol]; fertilizantes combinados; fertilizantes complejos; fertilizantes compuestos; fertilizantes con múltiples nutrientes; fertilizantes de liberación lenta para la jardinería; fertilizantes líquidos; fertilizantes minerales; fertilizantes naturales; fertilizantes orgánicos; fertilizantes para cultivos hidropónicos; fertilizantes para césped; fertilizantes para pasto; fertilizantes para plantas; fertilizantes para plantas de uso doméstico; fertilizantes para suelos; fertilizantes para suelos o tierra para macetas; fertilizantes para terrenos; fertilizantes para tierra de macetas; fertilizantes para tierra o mezclas de tierra para macetas; fertilizantes para uso agrícola; fertilizantes para uso doméstico; fertilizantes, abonos para césped y pasto; fertilizantes, fertilizantes para césped y pasto; mezclas de suelos [abonos orgánicos, estiércol y fertilizantes]; mezclas de suelos [compost, estiércol y fertilizantes]; piensos de jardín [fertilizantes]; preparaciones fertilizantes; preparaciones fertilizantes a base de minerales; productos fertilizantes a base de minerales.
5. Fungicidas para uso agrícola; fungicidas para uso hortícola; adhesivos para el control de plagas; biopesticidas para la agricultura; insecticidas para uso agrícola; productos para lavar el ganado [insecticidas]; suplementos nutricionales no medicinales para alimentos para animales; complementos nutricionales para piensos.
31. Micelios para la agricultura; alimentos para animales; alimentos para animales de granja; piensos; micelio para la agricultura.
44. Consultoría profesional en fertilizantes y otras preparaciones agrícolas; servicios de asesoramiento y consultoría en el uso de fertilizantes agrícolas y hortícolas; servicios de asesoramiento y consultoría relacionados con el uso de fertilizantes en agricultura, horticultura y silvicultura; suministro de información sobre el uso de fertilizantes; suministro de información sobre la pulverización de fertilizantes; control de plagas con fines agrícolas; control de plagas en la agricultura; control de plagas para la acuicultura; control de plagas para la horticultura; control de plagas para la silvicultura; control de plagas para uso agrícola; control de plagas para uso hortícola; control de plagas para uso silvícola; servicio de control de plagas para la agricultura, la horticultura y la silvicultura; servicios de asesoramiento y consultoría en eliminación de malas hierbas, así como control de plagas y animales dañinos en la agricultura, horticultura y silvicultura; servicios de control de plagas para la agricultura; servicios de control de plagas para la agricultura, la acuicultura, la horticultura y la silvicultura; servicios de control de plagas para uso agrícola; servicios de control de plagas para uso hortícola; servicios de control de plagas para uso silvícola; asesoramiento y consultoría en agricultura, horticultura y silvicultura; consultoría en agricultura, horticultura y silvicultura; eliminación de animales dañinos en la agricultura, horticultura y silvicultura, así como suministro de información al respecto; eliminación de malas hierbas en la agricultura, horticultura y silvicultura; servicios de agricultura, acuicultura, horticultura y silvicultura; servicios de agricultura, horticultura y silvicultura; servicios de asesoramiento y consultoría en el uso de abonos para la agricultura, horticultura y silvicultura; suministro de información en línea sobre agricultura, horticultura y silvicultura; suministro de información sobre agricultura, horticultura y silvicultura; suministro de información sobre la eliminación de animales dañinos en la agricultura, horticultura y silvicultura; consultoría en horticultura; consultoría en plantación de árboles, horticultura y arquitectura paisajística; consultoría sobre horticultura; eliminación de parásitos y animales dañinos, así como eliminación de malas hierbas en la agricultura, horticultura y silvicultura; horticultura; servicios de asesoramiento y consultoría en el uso de tratamientos no químicos para la agricultura y la horticultura sostenibles; servicios de consultoría en horticultura; servicios de control de plagas para la horticultura; servicios de plantación de árboles, horticultura y arquitectura paisajística; eliminación de parásitos en la agricultura, horticultura y silvicultura; servicios de silvicultura.
</t>
  </si>
  <si>
    <t>CLOFITABS</t>
  </si>
  <si>
    <t xml:space="preserve"> LABORATORIOS DE PRODUCTOS NATURASOL MORENO GARCIA ROJAS E HIJOS &amp; CIA. S. EN C. S., Vereda Canavita Sector Dulcinea, TOCANCIPA, CUNDINAMARCA, CO</t>
  </si>
  <si>
    <t xml:space="preserve">5. PRODUCTOS FARMACÉUTICOS, PRODUCTOS FITOTERAPEUTICOS PARA EL USO HUMANO, SUPLEMENTOS Y COMPLEMENTOS ALIMENTICIOS PARA PERSONAS.
</t>
  </si>
  <si>
    <t>TAUROX</t>
  </si>
  <si>
    <t xml:space="preserve"> LABORATORIOS ERMA S.A., Autop. Btá-Medellín Km 7 Celta Trade Park , FUNZA, CUNDINAMARCA, CO</t>
  </si>
  <si>
    <t>HEMOCEL</t>
  </si>
  <si>
    <t>INSTRUMENTATION LABORATORY COMPANY</t>
  </si>
  <si>
    <t>SOMOS MARTINA</t>
  </si>
  <si>
    <t xml:space="preserve"> SOMOS MARTINA SAS, CALLE 87 No. 12A-70 APTO 1001, BOGOTÁ, D.C., CO</t>
  </si>
  <si>
    <t>5, 25</t>
  </si>
  <si>
    <t xml:space="preserve">5. Calzones absorbentes para la incontinencia; calzones higiénicos; calzones para la menstruación.
25. Calzones [ropa interior]; tops [prendas de vestir]; tops [ropa]; tops de señora.
</t>
  </si>
  <si>
    <t>VALVERDE</t>
  </si>
  <si>
    <t>Luisa Fernanda  Castañeda Simanca, Carrera 38 No. 75b sur 257, SABANETA, ANTIOQUIA, CO</t>
  </si>
  <si>
    <t>5, 44</t>
  </si>
  <si>
    <t xml:space="preserve">5. Productos farmacéuticos, preparaciones para uso médico; productos higiénicos y sanitarios para uso médico; alimentos y sustancias dietéticas para uso médico, alimentos para bebés; complementos alimenticios para personas; emplastos, material para apósitos; material para empastes e improntas dentales; desinfectantes.
44. Servicios médicos; tratamientos de higiene y de belleza para personas.
</t>
  </si>
  <si>
    <t>BLEMIL PLUS PROTECH</t>
  </si>
  <si>
    <t xml:space="preserve"> SANBOY COMERCIO DE PRODUCTOS ALIMENTICIOS, S.L., C. Osca, 18-20 E-08830 SANT BOI DE LLOBREGAT (Barcelona), SANT BOI DE LLOBREGAT, BARCELONA, ES</t>
  </si>
  <si>
    <t xml:space="preserve">5. Alimentos para bebés.
</t>
  </si>
  <si>
    <t>EDO IMISAN</t>
  </si>
  <si>
    <t>ADITIVOS Y QUIMICOS S.A.S ADIQUIM S.A.S</t>
  </si>
  <si>
    <t xml:space="preserve"> LABORATORIOS EDO S.A.S., CALLE 13 NO. 38- 86 ACOPI, YUMBO, VALLE DEL CAUCA, CO</t>
  </si>
  <si>
    <t xml:space="preserve">5. Productos farmacéuticos para uso médico veterinario.
</t>
  </si>
  <si>
    <t>MASS BUILDER</t>
  </si>
  <si>
    <t xml:space="preserve"> NUTRITION S.A.S., AV 2 BIS 16 N 27, CALI, VALLE DEL CAUCA 110001, CO</t>
  </si>
  <si>
    <t xml:space="preserve">5. Alimentos y sustancias dietéticas para uso médico o veterinario.
</t>
  </si>
  <si>
    <t>MASS BUILDER ZERO</t>
  </si>
  <si>
    <t>NITROX</t>
  </si>
  <si>
    <t>JUAN SEBASTIAN LIZCANO ROJAS</t>
  </si>
  <si>
    <t>AUTECO MOBILITY S.A.S.</t>
  </si>
  <si>
    <t>SMART BAR</t>
  </si>
  <si>
    <t>JHO INTELLECTUAL PROPERTY HOLDINGS, LLC.</t>
  </si>
  <si>
    <t>SMART BULK</t>
  </si>
  <si>
    <t>VCL JEUNESSE</t>
  </si>
  <si>
    <t xml:space="preserve"> JEUNESSE GLOBAL HOLDINGS, LLC, 701 INTERNATIONAL PARKWAY, LAKE MARY, FLORIDA 32746, ESTADOS UNIDOS DE AMERICA, LAKE MARY, FLORIDA, US</t>
  </si>
  <si>
    <t xml:space="preserve">5. Suplementos dietéticos y nutricionales; suplementos dietéticos proteicos; suplementos vitamínicos y minerales.
</t>
  </si>
  <si>
    <t>PALMIER</t>
  </si>
  <si>
    <t xml:space="preserve"> HEALTHY AMERICA COLOMBIA S.A.S., CRA. 37 NO. 13 - 186	, YUMBO, VALLE DEL CAUCA, CO</t>
  </si>
  <si>
    <t xml:space="preserve">5. Medicamentos; medicamentos fitoterapéuticos para el consumo humano; productos farmacéuticos; preparaciones para uso médico; alimentos y sustancias dietéticas para uso médico; complementos alimenticios para personas; complementos dietéticos con efecto cosmético; suplementos dietéticos con efecto cosmético; cremas para el cuidado de la piel, medicinales.
</t>
  </si>
  <si>
    <t>KARVIL</t>
  </si>
  <si>
    <t xml:space="preserve"> TORRENT PHARMACEUTICALS LIMITED, Ashram Road, Ahmedabad - 380009, Gujarat, India, AHMEDABAD, GUJARAT, IN</t>
  </si>
  <si>
    <t xml:space="preserve">5. Producto farmacéutico para tratar la insuficiencia cardíaca y la hipertensión; angina pectoris; funcional para mejorar el flujo sanguíneo y disminuir la presión arterial.
</t>
  </si>
  <si>
    <t>FESTAL</t>
  </si>
  <si>
    <t xml:space="preserve"> MARKATRADE INC., Ave. Samuel Lewis y Calle Gerardo Ortega, Edif. Central, 5to Piso, Panamá., CIUDAD DE PANAMA, PANAMA, PA</t>
  </si>
  <si>
    <t>RIX</t>
  </si>
  <si>
    <t>GLAXOSMITHKLINE BIOLOGICALS S.A.</t>
  </si>
  <si>
    <t xml:space="preserve"> LABORATORIO PROFESIONAL FARMACEUTICO S.A. LAPROFF S.A., CARRERA 43A NO. 61-84, SABANETA, ANTIOQUIA, CO</t>
  </si>
  <si>
    <t>DEXPERTA</t>
  </si>
  <si>
    <t xml:space="preserve"> BLAU FARMACEUTICA COLOMBIA S A S, TRANSV 93 NO. 53 - 48 INT. 52, BOGOTÁ, D.C., CO</t>
  </si>
  <si>
    <t xml:space="preserve">5. Medicamentos; medicamentos para uso humano; medicamentos para uso médico; medicamentos y agentes terapéuticos.
</t>
  </si>
  <si>
    <t>X MantixVet</t>
  </si>
  <si>
    <t>Maria Camila Medrano Arce, Cl. 86 #28-35 Jardines del Nogal apt 1053, PEREIRA, RISARALDA, CO</t>
  </si>
  <si>
    <t xml:space="preserve">5. Desinfectantes; desinfectantes multiuso; desinfectantes para uso veterinario; desinfectantes y antisépticos.
</t>
  </si>
  <si>
    <t>Catnip Colombia</t>
  </si>
  <si>
    <t>Susana Perez Calle, Carrera 46A #29 Sur 15. Vía Serrano, 1409. , ENVIGADO, ANTIOQUIA 0000, CO</t>
  </si>
  <si>
    <t>5, 28, 31</t>
  </si>
  <si>
    <t xml:space="preserve">5. Estimulantes alimenticios para animales.
28. Juguetes para animales de compañía.
31. Objetos comestibles y masticables para animales.
</t>
  </si>
  <si>
    <t>LABORATORIOS ITALPHARMA</t>
  </si>
  <si>
    <t xml:space="preserve"> LABORATORIOS ITALPHARMA S.A.S., CL 76 No 46 - 64, BARRANQUILLA, ATLÁNTICO, CO</t>
  </si>
  <si>
    <t xml:space="preserve">5. Productos farmacéuticos para uso humano.
</t>
  </si>
  <si>
    <t>SPINOBAK</t>
  </si>
  <si>
    <t xml:space="preserve"> MANKIND PHARMA LIMITED, 208, OKHLA INDUSTRIAL ESTATE, PHASE – III, NUEVA DELHI, DELHI, IN</t>
  </si>
  <si>
    <t xml:space="preserve">5. PREPARACIONES FARMACÉUTICAS Y VETERINARIAS; PREPARACIONES SANITARIAS PARA USO MÉDICO; ALIMENTOS DIETÉTICOS Y SUSTANCIAS ADAPTADAS PARA USO MÉDICO O VETERINARIO, ALIMENTOS PARA BEBÉS; COMPLEMENTOS DIETÉTICOS PARA HUMANOS Y ANIMALES; EMPLASTOS, MATERIALES PARA APÓSITOS; MATERIAL PARA EMPASTES DENTALES, CERAS PARA IMPRONTAS DENTALES; DESINFECTANTES; PRODUCTOS PARA ELIMINAR PARÁSITOS; FUNGICIDAS, HERBICIDAS.
</t>
  </si>
  <si>
    <t>ENTEROLAC</t>
  </si>
  <si>
    <t xml:space="preserve"> LABORATORIOS INCOBRA S.A., CALLE  46 NO. 46-117/157, BARRANQUILLA, ATLÁNTICO, CO</t>
  </si>
  <si>
    <t xml:space="preserve">5. Productos farmacéuticos, preparaciones para uso médico y veterinario; productos higiénicos y sanitarios para uso médico; alimentos y sustancias dietéticas para uso médico o veterinario, alimentos para bebés; suplementos dietarios; complementos alimenticios para personas o animales; emplastos, material para apósitos; material para empastes e improntas dentales; desinfectantes; productos para eliminar animales dañinos; fungicidas, herbicidas.
</t>
  </si>
  <si>
    <t xml:space="preserve">COLLAGEN FLEX </t>
  </si>
  <si>
    <t>COLLAGEN SKIN</t>
  </si>
  <si>
    <t>AUTO FRESCO</t>
  </si>
  <si>
    <t xml:space="preserve"> SM MARKEN GMBH, INTERTRUST SERVICES (SGCWEIZ) AG, ALPENSTRASSE 15, 6304, ZUG, ZUG, CH</t>
  </si>
  <si>
    <t xml:space="preserve">5. Ambientadores.
</t>
  </si>
  <si>
    <t>Hidroxia</t>
  </si>
  <si>
    <t xml:space="preserve"> ARMESSO S.A.S., CRA 129 NO 22B - 57 INT 24, BOGOTÁ, D.C., CO</t>
  </si>
  <si>
    <t xml:space="preserve">5. Preparaciones y productos farmacéuticos para el cuidado de la piel (cutis); cremas medicinales para el cuidado, hidratación y tratamiento de la piel (cutis); preparaciones medicinales para el cutis.
</t>
  </si>
  <si>
    <t>CANABCARE</t>
  </si>
  <si>
    <t>JEMIE B.V.</t>
  </si>
  <si>
    <t>DIANA MARIA ZULUAGA DUQUE, CRA 30 A No 17 sur 36 apto 401, MEDELLIN, ANTIOQUIA, CO</t>
  </si>
  <si>
    <t>Fluxacid Forte</t>
  </si>
  <si>
    <t xml:space="preserve"> BIONUTRECT SAS, Calle 15 No. 32 -450 Km 2 vía Acopi Yumbo, YUMBO, VALLE DEL CAUCA, CO</t>
  </si>
  <si>
    <t xml:space="preserve">5. Medicamentos; medicamentos para el tratamiento de enfermedades gastrointestinales; medicamentos para uso médico; productos farmacéuticos; preparaciones para uso médico y veterinario.
</t>
  </si>
  <si>
    <t>LA SANTÉ MINOXIDIL FORTE 5%</t>
  </si>
  <si>
    <t>TECNOQUIMICAS S.A.</t>
  </si>
  <si>
    <t xml:space="preserve"> LABORATORIOS LA SANTE S.A, CALLE 17A No 32 - 34, BOGOTÁ, D.C., CO</t>
  </si>
  <si>
    <t xml:space="preserve">5. Productos farmacéuticos, preparaciones para uso médico y veterinario; productos higiénicos y sanitarios para uso médico.
</t>
  </si>
  <si>
    <t>Pollux</t>
  </si>
  <si>
    <t>Andrés David Botero Duque, Calle 10a # 10-190 edificio paradisia apto 1503, MEDELLIN, ANTIOQUIA, CO</t>
  </si>
  <si>
    <t>ROWSONG</t>
  </si>
  <si>
    <t xml:space="preserve"> NINGBO SUNJOY BIOSCIENCE CO.,LTD., Room 404-15-2, Building 4, Jishixingu, Jishigang, Haishu, Ningbo, Zhejiang, China, NINGBO, ZHEJIANG, CN</t>
  </si>
  <si>
    <t xml:space="preserve">5. Pesticidas; repelentes de insectos; herbicidas; productos para eliminar larvas; acaricidas; productos para eliminar ratones; insecticidas; preparaciones para esterilizar suelos; biocidas; fungicidas; germicidas; productos para eliminar babosas; preparaciones químicas para tratar el tizón del trigo; preparaciones químicas para tratar el carbón del trigo; productos químicos para tratar la filoxera; productos para eliminar parásitos; alguicidas; preparaciones químicas para tratar las enfermedades de las plantas de cereales; preparaciones químicas para tratar las enfermedades de la vid; raticidas.
</t>
  </si>
  <si>
    <t>DOWNYSTAR</t>
  </si>
  <si>
    <t>THE PROCTER &amp; GAMBLE COMPANY</t>
  </si>
  <si>
    <t>CANNBIA</t>
  </si>
  <si>
    <t xml:space="preserve"> CANNBIA LAB S.A.S., CR 53 No 106 - 280 OF 7, BARRANQUILLA, ATLÁNTICO, CO</t>
  </si>
  <si>
    <t>3, 5, 42</t>
  </si>
  <si>
    <t xml:space="preserve">3. Cosméticos; cosméticos a base de cannabis; cosméticos a base de cáñamo; cosméticos de belleza; cosméticos naturales; cosméticos a base de hierbas; cosméticos naturales; cosméticos ecológicos; cosméticos para cuidados corporales y estéticos; cosméticos para el cuidado del cuerpo; cosméticos y preparaciones cosméticas; cosméticos y preparaciones de cuidado personal; productos cosméticos y de maquillaje; preparaciones cosméticas, aceites de cáñamo a base de cbd para uso cosmético; preparaciones para el cuidado de la piel a base de cbd; productos cosméticos de cbd; preparaciones fito-cosméticas; terpenos [aceites esenciales]; aceites para cosméticos y preparaciones de tocador.
5. Cannabis medicinal en forma de aceites para facilitar la administración de fármacos; cannabis medicinal en forma de tisanas; cannabis medicinal en forma de tisanas para uso medicinal; cannabis para uso médico; suplementos dietéticos con efecto cosmético; productos y derivados para la elaboración y preparación de: productos farmacéuticos, veterinarios, alimenticios y preparaciones de uso médico, provenientes de material vegetal, tanto de cannabis, cañamo y de otras plantas o especies vegetales autorizadas por ley; extractos de plantas y tes para uso médico; extractos de plantas para uso farmacéutico; tinturas para uso médico; preparaciones de vitaminas; aceites, hierbas, raíces, pociones, infusiones medicinales; hierbas de fumar para uso médico.
42. Análisis de laboratorio en el ámbito de los productos cosméticos; ensayos de cosméticos; investigación en laboratorio en el ámbito de los productos cosméticos; servicios de prueba, inspección e investigación en los ámbitos de los productos farmacéuticos, los productos cosméticos y los alimentos; servicios científicos, así como de investigación y desarrollo en estos ámbitos; investigación industrial; investigación biológica; test cosméticos; inspección de cosméticos.
</t>
  </si>
  <si>
    <t>P PROGA-GL PROTECTANTE ORGÁNICO GLUCANASA</t>
  </si>
  <si>
    <t xml:space="preserve"> COMPAÑIA NACIONAL DE LEVADURAS LEVAPAN S.A., Carrera 7 # 71 - 52 Torre B Oficina 1301, BOGOTÁ, D.C., CO</t>
  </si>
  <si>
    <t xml:space="preserve">5. Bioinsumo basado en mezcla de bioingredientes derivados de la levadura que se ofrecerá como tratamiento preventivo de enfermedades generadas por hongos como sigatoka o botrytis.
</t>
  </si>
  <si>
    <t>PUMP NOX EDGE</t>
  </si>
  <si>
    <t>EQUIVAC</t>
  </si>
  <si>
    <t xml:space="preserve"> LABORATORIOS PISA S.A DE C.V., AVENIDA ESPAÑA NO. 1840, COL. MODERNA C.P. 44190, GUADALAJARA, JALISCO, MX</t>
  </si>
  <si>
    <t xml:space="preserve">5. PRODUCTOS FARMACÉUTICOS, PREPARACIONES PARA USO MÉDICO.
</t>
  </si>
  <si>
    <t>Piel Rosa</t>
  </si>
  <si>
    <t>mariana toro gomez, calle 20 # 33 - 08 apt 401 quintas de la florida, CARMEN DE VIBORAL, ANTIOQUIA 054030, CO</t>
  </si>
  <si>
    <t xml:space="preserve">3. Aceites cosméticos para la piel; composiciones para aclarar la piel [cosméticos]; cremas para el cuidado de la piel que no sean de uso médico; hidratantes cosméticas para el rostro; jabones líquidos para las manos, el rostro y el cuerpo; preparaciones de maquillaje para el rostro y el cuerpo; tónicos cosméticos para el rostro; bloqueador solar [cosméticos]; mascarillas para la piel [cosméticos]; preparaciones cosméticas para proteger la piel de los rayos del sol; exfoliantes corporales; exfoliantes corporales cosméticos; cremas cosméticas para el cuidado de la piel; cremas no medicinales para la piel; maquillaje para la piel.
5. Preparaciones para el tratamiento del acné.
</t>
  </si>
  <si>
    <t>TUCAT</t>
  </si>
  <si>
    <t xml:space="preserve"> LABORATORIOS RICHMOND S.A.C.I.F., Calle Elcano 4938, BUENOS AIRES, DISTRITO FEDERAL / BUENOS AIRES N/A, AR</t>
  </si>
  <si>
    <t xml:space="preserve">5. Medicamentos.
</t>
  </si>
  <si>
    <t>EURIT</t>
  </si>
  <si>
    <t>HIDROSKY - COLÁGENO HIDROLIZADO</t>
  </si>
  <si>
    <t xml:space="preserve"> SKYPHARMA SAS, Carrera 65 No. 97 - 05, BOGOTÁ, D.C., CO</t>
  </si>
  <si>
    <t xml:space="preserve">5. Suplementos alimenticios destinados a completar una dieta normal o a beneficiar la salud. - COLÁGENO HIDROLIZADO.
</t>
  </si>
  <si>
    <t>QUANIL PHARMA</t>
  </si>
  <si>
    <t>CAMILA VARGAS HENAO, CL 36D SUR NO 26A 62 CS 132, ENVIGADO, ANTIOQUIA, CO</t>
  </si>
  <si>
    <t xml:space="preserve">5. Extractos de plantas medicinales; extractos de plantas para uso farmacéutico; extractos de plantas para uso médico; extractos de plantas y hierbas para uso medicinal.
</t>
  </si>
  <si>
    <t>ARTICULOR</t>
  </si>
  <si>
    <t>JHON EDISSON ZULUAGA BUILES, DG 55AB # 18A 65, RIONEGRO, ANTIOQUIA, CO</t>
  </si>
  <si>
    <t xml:space="preserve">5. Extractos de plantas y hierbas para uso medicinal.
</t>
  </si>
  <si>
    <t>YOUNIQUE DAILY YOU</t>
  </si>
  <si>
    <t xml:space="preserve"> Younique, LLC, 3400 Mayflower Ave. Lehi UT 84043, US</t>
  </si>
  <si>
    <t xml:space="preserve">5. Suplementos dietéticos con efecto cosmético.
</t>
  </si>
  <si>
    <t>furrys</t>
  </si>
  <si>
    <t>PRODUCTOS FURRYPET´S S.A.S</t>
  </si>
  <si>
    <t>Mariana  yepes baena, calle 7d #43a-99, MEDELLIN, ANTIOQUIA 050025, CO</t>
  </si>
  <si>
    <t>3, 5, 18, 25, 35</t>
  </si>
  <si>
    <t xml:space="preserve">3. Esponjas impregnadas con jabones; esponjas impregnadas con jabones para uso doméstico; jabones antitranspirantes; jabones antitranspirantes para los pies; jabones corporales no medicados; jabones cosméticos; jabones de acero inoxidable; jabones de baño; jabones de baño en forma líquida, sólida o de gel; jabones de ducha; jabones de lufa; jabones de papel para uso personal; jabones de tocador; jabones de tocador no medicinales; jabones de tocador perfumados; jabones desodorantes; jabones desodorantes a base de cáñamo; jabones desodorizantes; jabones detergentes; jabones en crema; jabones en crema para el cuerpo; jabones en forma líquida; jabones en polvo no medicinales; jabones faciales; jabones industriales; jabones líquidos; jabones líquidos no medicinales; jabones líquidos para baños de pies; jabones líquidos para el baño; jabones líquidos para el cabello y el cuerpo; jabones líquidos para las manos y el rostro; jabones líquidos para las manos, el rostro y el cuerpo; jabones no medicados para el cuerpo; jabones no medicados para la cara; jabones no medicados para las manos; jabones no medicinales; jabones para alfombras; jabones para avivar los colores de materias textiles; jabones para el cuerpo; jabones para el cuidado del cuerpo; jabones para guarnicionería; jabones para la colada; jabones para la ducha; jabones para la piel; jabones para las manos; jabones para lavar la ropa; jabones para silla de montar; jabones para uso doméstico; jabones para uso personal; jabones perfumados; jabones vegetales; jabones y detergentes; jabones*; jabones*; aceites esenciales para aromatizar los alimentos; aceites esenciales utilizados como aromatizantes para alimentos; aceites esenciales utilizados como saborizantes para alimentos; esencias comestibles para alimentos [aceites esenciales]; esencias comestibles para alimentos [esencias etéricas]; aceites de limpieza; aceites de pino para la limpieza de suelos; agentes de limpieza para uso doméstico; agentes y preparaciones de limpieza; agua micelar de limpieza; almidón para uso de limpieza; almohadillas de limpieza impregnadas con cosméticos; almohadillas de limpieza impregnadas con productos cosméticos; almohadillas de limpieza impregnadas de cosméticos; almohadillas de limpieza prehumedecidas; almohadillas de limpieza preimpregnadas; almohadillas, toallitas o pañitos de limpieza prehumedecidos o impregnados; amoníaco de limpieza; cremas de limpieza; cremas de limpieza [cosméticos]; cremas de limpieza [para uso cosmético]; cremas de limpieza [productos cosméticos]; cremas de limpieza para uso cosmético; detergentes para la limpieza de la ropa para uso doméstico; detergentes para la limpieza que no sean para procesos de fabricación; esponjas impregnadas con preparaciones para la limpieza; espuma de limpieza; espumas de limpieza; geles de limpieza de inodoros; geles de limpieza para los dientes; geles para la limpieza de los dientes; granulados de limpieza facial; leches de limpieza facial; lejía para uso en la limpieza; lociones de limpieza dental; líquidos de limpieza; líquidos de limpieza en seco; líquidos de limpieza para objetivos de cámaras; mascarillas faciales de limpieza profunda; materiales de chorreado para la limpieza de superficies; materiales de limpieza por chorro que contienen minerales triturados; materiales de limpieza por granallado; materiales en forma de granallado para la limpieza a chorro; pañitos de limpieza impregnados con preparaciones de tocador; pañitos de limpieza prehumedecidos; pañitos de limpieza preimpregnados; paños de limpieza húmedos; paños de limpieza impregnados con detergente; paños impregnados con preparaciones de limpieza; paños impregnados de detergentes para la limpieza de objetivos de cámaras; paños impregnados de preparaciones de limpieza; paños impregnados de productos de limpieza para la piel; preparaciones de limpieza; preparaciones de limpieza dental; preparaciones de limpieza nasal para la higiene personal; preparaciones de limpieza no medicadas; preparaciones de limpieza no medicadas para el cuerpo; preparaciones de limpieza no saponáceas; preparaciones de limpieza para azulejos; preparaciones de limpieza para cristales; preparaciones de limpieza para el baño; preparaciones de limpieza para el cuerpo; preparaciones de limpieza para el hogar; preparaciones de limpieza para gomas y ruedas de automóviles; preparaciones de limpieza para gomas y ruedas de vehículos; preparaciones de limpieza para las manos; preparaciones de limpieza para neumáticos de vehículos, llantas y cubos de ruedas; preparaciones de limpieza para neumáticos y ruedas de automóviles; preparaciones de limpieza para neumáticos y ruedas de vehículos; preparaciones de limpieza para uso doméstico; preparaciones de limpieza para uso en los inodoros; preparaciones de limpieza para vidrios; preparaciones de limpieza polivalentes; preparaciones exfoliantes y de limpieza para la piel; preparaciones para el cuidado y la limpieza del cabello; preparaciones para el cuidado y limpieza de los animales; preparaciones para la limpieza de dentaduras postizas; preparaciones para la limpieza de los platos; preparaciones para la limpieza de superficies duras; preparaciones para la limpieza del baño; preparaciones para la limpieza del cabello; preparaciones químicas de limpieza para uso doméstico; productos de limpieza; productos de limpieza alcalinos en forma líquida para desagües; productos de limpieza alcalinos en forma sólida para desagües; productos de limpieza alcalinos para desagües; productos de limpieza cáusticos para desagües; productos de limpieza en aerosoles para productos textiles; productos de limpieza en aerosoles para refrescar protectores bucales para deportes; productos de limpieza en aerosoles para uso doméstico; productos de limpieza en aerosoles para ventanas; productos de limpieza en seco; productos de limpieza en spray; productos de limpieza en sprays para uso doméstico; productos de limpieza en sprays para ventanas; productos de limpieza enzimáticos para desagües; productos de limpieza oxidantes para desagües; productos de limpieza para cristales; productos de limpieza para el hogar; productos de limpieza para las pestañas; productos de limpieza para uso doméstico; desodorantes para mascotas; desodorizantes para mascotas; toallitas impregnadas con preparaciones de limpieza para mascotas.
5. Jabones antibacterianos para la piel; jabones carbólicos; jabones desinfectantes perfumados; jabones medicinales; jabones y detergentes medicinales y desinfectantes; lavados desinfectantes que no sean jabones; jabones antibacterianos; jabones desinfectantes; jabones desinfectantes; alimentos y suplementos alimenticios sin gluten, todos adecuados a fines médicos; antioxidantes utilizados como suplementos alimenticios; bacterias probióticas [suplementos alimenticios]; bacterias probióticas en cuanto suplementos alimenticios; bebidas de leche malteada en cuanto suplementos alimenticios para bebés; bebidas de leche malteada en cuanto suplementos alimenticios para minusválidos; bebidas nutricionales en cuanto suplementos alimenticios;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proteínas de suero de leche [suplementos alimenticios]; proteínas de suero de leche en cuanto suplementos alimenticios;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aditivos en forma de vitaminas y minerales para alimentos para animales de compañía; alimentos a base de albúmina para uso médico; alimentos complementarios para uso veterinario; alimentos dietéticos medicinales para animales; alimentos dietéticos para uso médico; alimentos dietéticos para uso veterinario; alimentos medicinales para animales; alimentos para bebés; alimentos para bebés especialmente leche en polvo para bebés; alimentos para bebés y niños pequeños; alimentos para diabéticos; alimentos para lactantes; alimentos para niños; alimentos para niños pequeños; alimentos sin gluten adaptados a fines médicos; alimentos y aditivos alimentarios sin gluten, todos adecuados a fines médicos; alimentos y bebidas dietéticos para uso médico; alimentos y bebidas dietéticos para uso médico o veterinario; alimentos y bebidas dietéticos para uso veterinario; alimentos y sustancias dietéticas para uso médico o veterinario; alimentos y sustancias dietéticas para uso médico o veterinario, alimentos para bebés; complementos medicinales para alimentos destinados a los animales; complementos nutricionales para alimentos de animales; suplementos minerales para alimentos; suplementos nutricionales no medicinales para alimentos para animales; suplementos nutricionales para alimentos de animales para uso médico; botiquines de primeros auxilios para mascotas; bragas higiénicas para mascotas; collares antipulgas para mascotas; complementos vitamínicos y minerales para mascotas; desodorantes de bandejas higiénicas para mascotas; envolturas sanitarias [pañales para mascotas]; estuches de primeros auxilios para mascotas; kits de primeros auxilios para mascotas; medicamentos de prevención contra los nematodos parásitos de mascotas; pañales para mascotas; preparaciones desodorantes de bandejas higiénicas para mascotas; preparaciones para el tratamiento contra pulgas y garrapatas de mascotas; preparaciones para neutralizar los olores dejados por las mascotas; preparados desodorantes para bandejas higiénicas para mascotas; vitaminas para mascotas.
18. Artículos de guarnicionería, fustas y vestuario para animales; vestuario para animales; vestuario para animales de compañía; vestuario para mascotas; arneses para mascotas; bolsas para transportar mascotas; bolsos para transportar mascotas; botines para mascotas; collares para mascotas; correas para mascotas; escarpines para mascotas; ropa para mascotas; ropa para mascotas con led incorporado; vestimenta para mascotas.
25. Artículos de vestuario; mascarillas faciales de punto en cuanto artículos de vestuario; vestuario; vestuario de teatro; vestuario teatral.
35. Servicios de venta minorista o mayorista de jabones; servicios de venta minorista o mayorista de productos cosméticos, productos de tocador, dentífricos, jabones y detergentes; servicios de venta minorista o mayorista de productos cosméticos, productos de tocador, dentífricos, jabones y detergentes; servicios de agencia de ventas de suplementos alimenticios dietéticos; administración comercial para tramitar ventas realizadas por internet; administración de programas de incentivos de ventas y promocionales; administración de programas de incentivos para la promoción de ventas; administración de ventas; administración de ventas de bienes inmuebles; agencias de representación artística con fines publicitarios y de promoción de ventas; consultoría sobre la optimización de motores de búsqueda para la promoción de ventas; consultoría sobre promoción de ventas; demostración de ventas para terceros; gestión de ventas; información sobre el ranking de las ventas de productos; información sobre la clasificación de las ventas de productos; información sobre las ventas de productos; optimización de motores de búsqueda con fines de promoción de ventas; organización de ventas en pública subasta; organización y celebración de ventas en pública subasta; organización, establecimiento y supervisión de programas de incentivos promocionales y de ventas; promoción de productos y servicios de terceros mediante la administración de programas de ventas e incentivos promocionales mediante cupones comerciales; promoción de ventas; promoción de ventas en puntos de compra o de venta, para terceros; promoción de ventas mediante la administración de cupones de fidelización de consumidores; promoción de ventas mediante la administración de códigos de fidelización de consumidores; promoción de ventas mediante la administración de puntos de fidelización de consumidores; promoción de ventas mediante la administración de tarjetas de fidelización de consumidores; promoción de ventas mediante programas de fidelización de clientes; promoción de ventas para terceros; promoción de ventas para terceros por medio de tarjetas de usuarios preferentes; promoción de ventas por cuenta de terceros mediante programas de cupones; promoción de ventas por medios audiovisuales; publicidad y promoción de ventas de productos y servicios; publicidad y promoción de ventas de productos y servicios disponibles en línea; publicidad y promoción de ventas sobre productos y servicios; seguimiento del volumen de ventas por cuenta de terceros; servicios de administración comercial para el procesamiento de ventas realizadas en una red informática mundial; servicios de administración comercial para el procesamiento de ventas realizadas por internet; servicios de administración de ventas; servicios de agencia de ventas de aceites esenciales para la perfumería; servicios de agencia de ventas de automóviles; servicios de agencia de ventas de bebidas a base de té; servicios de agencia de ventas de bebidas de frutas; servicios de agencia de ventas de motocicletas; servicios de agencia de ventas de piezas y accesorios de automóviles; servicios de agencia de ventas de piezas y accesorios de motocicletas; servicios de agencia de ventas de preparaciones farmacéuticas; servicios de agencia de ventas de productos cosméticos; servicios de agencia de ventas de productos de maquillaje; servicios de agencia de ventas de refrescos; servicios de agencia de ventas de utensilios cosméticos; servicios de agencia de ventas de zapatos; servicios de asesoramiento en relación con la promoción de ventas; servicios de gestión de ventas; servicios de información sobre ventas comerciales; servicios de modelos para publicidad o promoción de ventas; servicios de promoción de ventas; servicios de publicidad y promoción de ventas; servicios de representante de ventas; servicios de ventas en pública subasta prestados mediante redes de telecomunicación; suministro de actividades de leads de ventas para terceros; suministro de información sobre ventas comerciales; ventas en pública subasta; ventas en pública subasta de propiedades inmobiliarias.
</t>
  </si>
  <si>
    <t>DIPRONOVA</t>
  </si>
  <si>
    <t xml:space="preserve"> LUMINOVA PHARMA CORPORATION GmbH, Dr. J. Bollag &amp; Cie. AG, Unter Altstadt 10, 6302 , ZUG, ZUG, CH</t>
  </si>
  <si>
    <t xml:space="preserve">5. Productos farmacéuticos para uso humano, saber, productos antiinflamatorios, antirreumáticos y antialérgicos.
</t>
  </si>
  <si>
    <t>FENALEX</t>
  </si>
  <si>
    <t>B-RIGHT</t>
  </si>
  <si>
    <t xml:space="preserve"> Jarrow Formulas, Inc., 1824 South Robertson Boulevard, LOS ANGELES, CALIFORNIA 90035, US</t>
  </si>
  <si>
    <t xml:space="preserve">5. Complementos dietéticos y nutricionales.
</t>
  </si>
  <si>
    <t>MYCELIL</t>
  </si>
  <si>
    <t xml:space="preserve"> AVGUST CROP PROTECTION IMPORTACAO E EXPORTACAO LTDA, AVENIDA PAES DE BARROS 373, SALA 55/56 -03115-020, SAO PAULO, SAO PAULO, BR</t>
  </si>
  <si>
    <t xml:space="preserve">5. PRODUCTOS PARA LA DESTRUCCIÓN DE ANIMALES DAÑINOS; INSECTICIDAS, FUNGICIDAS Y HERBICIDAS PARA CULTIVOS.
</t>
  </si>
  <si>
    <t>BACIBAC</t>
  </si>
  <si>
    <t>NEMYCES</t>
  </si>
  <si>
    <t>APOTEX INNOVATING FOR PATIENT AFFORDABILITY</t>
  </si>
  <si>
    <t>APOTHEKANNA S.A.S.</t>
  </si>
  <si>
    <t xml:space="preserve"> APOTEX INC., 150 SIGNET DRIVE, , TORONTO, ONTARIO M9L 1T9, CA</t>
  </si>
  <si>
    <t>TQRQ</t>
  </si>
  <si>
    <t>RED BULL GMBH</t>
  </si>
  <si>
    <t xml:space="preserve"> SUPLEHERBALS S.A.S, Carrera 69p #65-21, BOGOTÁ, D.C. 1111, CO</t>
  </si>
  <si>
    <t xml:space="preserve">5. Complementos alimenticios; complementos a base de hierbas; complementos alimenticios de vitaminas y minerales; complementos alimenticios dietéticos en forma de cápsulas, que no sean para uso médico; complementos alimenticios minerales; complementos alimenticios minerales para seres humanos; complementos alimenticios para humanos; complementos alimenticios para personas; complementos alimenticios para seres humanos; complementos de proteínas para personas; complementos de vitaminas para productos alimenticios de consumo humano; complementos minerales nutricionales; complementos nutricionales; complementos nutricionales para seres humanos; complementos nutricionales y alimenticios; complementos vitamínicos; complementos vitamínicos para productos alimenticios de consumo humano; complementos vitamínicos y minerales; vitaminas, minerales y antioxidantes en cuanto complementos nutricionales y dietéticos.
</t>
  </si>
  <si>
    <t>FUCOL</t>
  </si>
  <si>
    <t>Genomma Lab Internacional S.A.B DE C.V.</t>
  </si>
  <si>
    <t xml:space="preserve"> EDERVIT  SALUD Y NUTRICION S.A.S., Crr. 15  No.11 -  36 , CIRCASIA, QUINDIO, CO</t>
  </si>
  <si>
    <t>THERABODY</t>
  </si>
  <si>
    <t xml:space="preserve"> Therabody, Inc., 6100 Wilshire Blvd., Suite 200, , LOS ANGELES, CALIFORNIA 90048, US</t>
  </si>
  <si>
    <t xml:space="preserve">5. Suplementos dietéticos; suplementos nutricionales; cremas para aliviar dolores tras la práctica deportiva.
</t>
  </si>
  <si>
    <t>ARKATEC</t>
  </si>
  <si>
    <t xml:space="preserve"> ARKATEC SAS, AVENIDA CIRCUNVALAR 6 -30 SUR PARQUE INDUSTRIAL DEL ORIENTE BODEGA 56, TUNJA, BOYACA, CO</t>
  </si>
  <si>
    <t>1, 5</t>
  </si>
  <si>
    <t xml:space="preserve">1. Abonos orgánicos, estiércol y fertilizantes; abonos, fertilizantes para césped y pasto; aditivos químicos para fertilizantes; biofertilizantes; biofertilizantes no químicos; compost, estiércol y fertilizantes; fertilizantes; fertilizantes a base de fosfato thomas; fertilizantes a base de nitrato de sodio; fertilizantes a base de potasio calcinado; fertilizantes a base de productos marinos; fertilizantes a base de silicato de calcio; fertilizantes a base de sulfato de potasio; fertilizantes a base de superfosfato de calcio; fertilizantes a base de urea; fertilizantes combinados; fertilizantes complejos; fertilizantes compuestos; fertilizantes compuestos tratados químicamte; fertilizantes con múltiples nutrientes; fertilizantes de cloruro de amonio; fertilizantes de cloruro de potasio; fertilizantes de fosfato condensado; fertilizantes de fosfato fundido; fertilizantes de harina de pescado; fertilizantes de liberación lenta para la jardinería; fertilizantes de manganeso; fertilizantes de nitrato de amonio; fertilizantes de origen animal; fertilizantes de potasio; fertilizantes de serrín; fertilizantes de sulfato de amonio; fertilizantes de superfosfato condensado; fertilizantes de superfosfato doble; fertilizantes de superfosfato doble o triple; fertilizantes de superfosfato triple; fertilizantes de urea; fertilizantes fosfatados; fertilizantes inorgánicos; fertilizantes líquidos; fertilizantes minerales; fertilizantes naturales; fertilizantes nitrogenados; fertilizantes orgánicos; fertilizantes orgánicos compuestos por excrementos de insectos; fertilizantes para cultivos hidropónicos; fertilizantes para césped; fertilizantes para pasto; fertilizantes para plantas; fertilizantes para suelos; fertilizantes para suelos o tierra para macetas; fertilizantes para terrenos; fertilizantes para uso agrícola; fertilizantes para uso doméstico; fertilizantes prebióticos; fertilizantes químicos; fertilizantes sin cloro; fertilizantes sintéticos para uso agrícola; fertilizantes, abonos para césped y pasto; fertilizantes, fertilizantes para césped y pasto; fosfatos [fertilizantes]; mezclas de suelos [abonos orgánicos, estiércol y fertilizantes]; mezclas de suelos [compost, estiércol y fertilizantes]; preparaciones fertilizantes; preparaciones fertilizantes a base de minerales; productos fertilizantes a base de minerales; sales [fertilizantes]; superfosfatos [fertilizantes]; aditivos químicos para fungicidas; productos químicos para uso agrícola, hortícola y forestal, excepto fungicidas, herbicidas, insecticidas y parasiticidas.
5. Fungicidas; fungicidas biológicos; fungicidas para uso agrícola; fungicidas para uso hortícola; fungicidas, herbicidas; preparaciones herbicidas y plaguicidas; pesticidas para la agricultura.
</t>
  </si>
  <si>
    <t>PROLYPAN</t>
  </si>
  <si>
    <t xml:space="preserve"> DAMIANO LICENSING B.V. , Strawinskylaan 1143, 1077 XX, AMSTERDAM, NOORD-HOLLAND, NL</t>
  </si>
  <si>
    <t xml:space="preserve">5. Productos farmacéuticos; productos higiénicos y sanitarios para uso médico; alimentos y sustancias dietéticas para uso médico, alimentos para bebés; complementos nutricionales para seres humanos.
</t>
  </si>
  <si>
    <t>El Toro</t>
  </si>
  <si>
    <t xml:space="preserve">5. Complementos vitamínicos; complementos vitamínicos para productos alimenticios de consumo humano; complementos vitamínicos y minerales; complementos alimenticios de vitaminas y minerales; multivitaminas; preparaciones de vitaminas y minerales; suplementos de vitaminas para productos alimenticios de consumo humano; bebidas nutricionales en cuanto complementos alimenticios; bebidas nutricionales en cuanto suplementos alimenticios.
</t>
  </si>
  <si>
    <t>NANOX</t>
  </si>
  <si>
    <t>Sanadores Ambientales Sanam Company S.A.S.</t>
  </si>
  <si>
    <t>CRISTIAN DAVID OROZCO RESTREPO, Calle 65 N°70-85 Interior 116, MEDELLIN, ANTIOQUIA, CO</t>
  </si>
  <si>
    <t>5, 32, 33</t>
  </si>
  <si>
    <t xml:space="preserve">5. Productos farmacéuticos homeopáticos.
32. Aguas minerales y gaseosas y otras bebidas sin alcohol.
33. Preparaciones alcohólicas para elaborar bebidas.
</t>
  </si>
  <si>
    <t>CBD La mata que sana</t>
  </si>
  <si>
    <t xml:space="preserve"> MEDICAL BEAUTY  LABS S.A.S. , Aut Medellin Km Tres Punto Cinco Md Seis Bg 15, COTA, CUNDINAMARCA, CO</t>
  </si>
  <si>
    <t xml:space="preserve">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t>
  </si>
  <si>
    <t>VITALHEMP</t>
  </si>
  <si>
    <t>PAOLA ANDREA GUZMAN MORA, CL 36D SUR NO 26A 62 CS 132, ENVIGADO, ANTIOQUIA, CO</t>
  </si>
  <si>
    <t xml:space="preserve">5. Linimentos; linimentos para uso médico o terapéutico; aerosoles y cremas de hierbas medicinales de uso externo; cremas a base de hierbas para uso médico; cremas analgésicas para uso tópico; cremas analgésicas tópicas; cremas herbarias para uso médico; cremas medicamentosas; cremas medicamentosas para hidratar la piel; cremas medicamentosas protectoras; cremas medicinales; cremas medicinales para la piel; cremas medicinales para los pies; espráis y cremas de hierbas medicinales de uso externo; lociones y cremas medicamentosas para el cuerpo, piel, cara y manos; lociones y cremas medicamentosas para el cuerpo, piel, rostro y manos; lociones y cremas medicinales para el cuerpo, piel, cara y manos; aerosoles fríos para uso médico; aerosoles herbarios para uso médico; aerosoles medicinales; antiinflamatorios en aerosol; tinturas para uso médico.
</t>
  </si>
  <si>
    <t>YONON</t>
  </si>
  <si>
    <t xml:space="preserve"> YONGNONG BIOSCIENCES CO., LTD. , No. 3 East Weiqi Rd(East), Hangzhou Gulf Economy and Technology Development Zone, ShangYu, ShaoXing, Zhejiang, SHAOXING, ZHEJIANG 312369, CN</t>
  </si>
  <si>
    <t xml:space="preserve">5. Biocidas; herbicidas; pesticidas; productos herbicidas; productos para eliminar ratones; alguicidas; repelentes de insectos; polvo de pelitre; productos para eliminar parásitos; preparaciones químicas para tratar el tizón del trigo; productos para eliminar larvas; germicidas para la agricultura; repelentes para animales; acaricidas; preparaciones para esterilizar suelos; productos para eliminar animales dañinos; acaricidas; parasitoides; desinfectante / sanitizante; fungicidas.
</t>
  </si>
  <si>
    <t>KUZE</t>
  </si>
  <si>
    <t>CLAUDIA LILIANA ORTEGA BARRERA, Calle 144 # 136a-09. Torre 6 Apto 302, BOGOTÁ, D.C., CO</t>
  </si>
  <si>
    <t xml:space="preserve">3.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t>
  </si>
  <si>
    <t>Espesso</t>
  </si>
  <si>
    <t xml:space="preserve"> BALANCE PHARMA S.A.S., Calle 49 sur # 43 a - 30 segundo piso, ENVIGADO, ANTIOQUIA, CO</t>
  </si>
  <si>
    <t>VITA-TOX</t>
  </si>
  <si>
    <t xml:space="preserve"> SILVER S S.A.S, Calle 7 A SUR N 3-20 , BOGOTÁ, D.C., CO</t>
  </si>
  <si>
    <t xml:space="preserve">5. Medicamentos fitoterapéuticos.
</t>
  </si>
  <si>
    <t>ZIVA BEAUTY BY LINA HENAO</t>
  </si>
  <si>
    <t>VALENTINA  VANEGAS HENAO, CARRERA 31 NRO 84 - 20, PEREIRA, RISARALDA, CO</t>
  </si>
  <si>
    <t xml:space="preserve">5. Preparaciones farmacéuticas para el cuidado de la salud; preparaciones medicinales para el cuidado de la salud; preparaciones y complementos nutricionales para la salud; preparaciones y complementos para la salud; preparaciones y suplementos nutricionales para la salud; preparaciones y suplementos para la salud; aceites de masaje no medicinales; aceites medicinales para bebés; aceites medicinales para masajes; aceites para el cuidado de la piel [medicinales]; aceites para el cuidado de la piel, medicinales; aditivos alimentarios medicinales para uso farmacéutico; aditivos alimentarios medicinales para uso veterinario; aerosoles medicinales; aerosoles medicinales para la garganta; aerosoles medicinales para uso bucal; aerosoles y cremas de hierbas medicinales de uso externo; agua de mar para baños medicinales; alcoholes medicinales; alimentos dietéticos medicinales para animales; alimentos medicinales para animales; apitoxina [veneno de abeja melífera] con fines medicinales o terapéuticos; apitoxina [veneno de abeja melífera] con fines terapéuticos o medicinales; barros medicinales; baños medicinales; baños medicinales para uso terapéutico; bebidas medicinales; bebidas medicinales en forma de licores tónicos; bebidas medicinales en forma de licores tónicos aromatizados; bebidas medicinales en la forma de suplementos dietéticos para la desintoxicación del colon; bebidas medicinales en la forma de suplementos dietéticos para la desintoxicación del hígado; bolsas para lavados internos prellenadas que contienen preparaciones medicinales para la limpieza; bálsamos analgésicos medicinales polivalentes; bálsamos medicinales para los labios; bálsamos medicinales para los pies; caramelos medicinales; champús en seco medicinales; champús medicinales; champús medicinales anticaspa; champús medicinales para animales de compañía; chicles medicinales con sabor a menta; complementos alimenticios medicinales a base de colágeno; complementos alimenticios medicinales para consumo humano; complementos medicinales para alimentos destinados a los animales; complementos medicinales para productos alimenticios de consumo humano; compresas medicinales; cremas labiales medicinales; cremas medicinales; cremas medicinales antibióticas de amplio espectro; cremas medicinales antibióticas polivalentes; cremas medicinales para aliviar de las mordeduras y picaduras de insectos; cremas medicinales para el cuidado de la piel; cremas medicinales para el tratamiento de afecciones cutáneas; cremas medicinales para la dermatitis del pañal; cremas medicinales para la piel; cremas medicinales para la protección de la piel; cremas medicinales para los pies; cremas medicinales para tratar afecciones dermatológicas; cremas para el cuidado de la piel, medicinales; decocciones de hierbas medicinales; dentífricos medicinales; duchas medicinales; duchas vaginales medicinales; ejuagues bucales medicinales anticaries; ejuagues dentales medicinales anticaries; emplastos medicinales; enjuagues bucales medicinales; enjuagues bucales medicinales anticaries; enjuagues bucales medicinales para animales de compañía; enjuagues medicinales anti caries para uso dental; esparadrapos que incorporan sustancias medicinales; espráis medicinales; espráis y cremas de hierbas medicinales de uso externo; extractos de hierbas medicinales; extractos de hierbas medicinales para uso médico; extractos de plantas medicinales; gasas impregnadas de cremas medicinales; geles de limpieza dental medicinales; geles exfoliantes, medicinales; geles medicinales aplicables con cepillo para el cuidado bucal; geles medicinales para el cuerpo; geles medicinales para el cuidado bucal; hierbas medicinales; hierbas medicinales secas o conservadas; hierbas medicinales tradicionales chinas; infusiones de hierbas medicinales; infusiones medicinales; jabones medicinales; jabones y detergentes medicinales y desinfectantes; lavados medicinales; lavados vaginales medicinales; licores medicinales; limpiadores faciales antibacterianos medicinales; lociones capilares medicinales; lociones faciales medicinales; lociones medicinales; lociones medicinales contra la dermatitis del pañal; lociones medicinales contra las quemaduras solares; lociones medicinales para después del afeitado; lociones medicinales para el cuerpo; lociones medicinales para el tratamiento de afecciones cutáneas; lociones medicinales para tratar afecciones dermatológicas; lociones y cremas medicinales para el cuerpo, piel, cara y manos; lodos medicinales; lubricantes medicinales a base de aloe vera; líquidos medicinales para cigarrillos electrónicos; parches medicinales; pastas de dientes medicinales; pastillas medicinales; paños impregnados con sustancias medicinales; pociones medicinales; polvos medicinales para bebés; polvos medicinales para el cuerpo; polvos medicinales para los pies; pomadas labiales medicinales; pomadas medicinales contra la dermatitis del pañal; pomadas mentoladas medicinales polivalentes; preparaciones con filtro solar, medicinales; preparaciones de tocador medicinales; preparaciones medicinales; preparaciones medicinales de oligoelementos para uso humano; preparaciones medicinales de protección solar; preparaciones medicinales de uso bucal en gotas, cápsulas, pastillas y comprimidos; preparaciones medicinales en cuanto aditivos alimentarios para el consumo humano; preparaciones medicinales orales para su administración en forma de comprimidos; preparaciones medicinales orales para su administración en forma de cápsulas; preparaciones medicinales orales para su administración en forma de gotas; preparaciones medicinales orales para su administración en forma de pastillas comprimidas; preparaciones medicinales para adelgazar; preparaciones medicinales para baños oculares; preparaciones medicinales para el afeitado; preparaciones medicinales para el aseo de animales; preparaciones medicinales para el baño; preparaciones medicinales para el baño de los animales; preparaciones medicinales para el crecimiento del cabello; preparaciones medicinales para el cuidado bucal; preparaciones medicinales para el cuidado capilar; preparaciones medicinales para el cuidado de la boca; preparaciones medicinales para el cuidado de la piel; preparaciones medicinales para el cuidado de la piel en forma de geles; preparaciones medicinales para el cuidado de las uñas; preparaciones medicinales para el cuidado de los labios; preparaciones medicinales para el cuidado de los pies; preparaciones medicinales para el cuidado dental; preparaciones medicinales para el cuidado dental de los animales; preparaciones medicinales para el cuidado y el tratamiento bucal; preparaciones medicinales para el tratamiento bucal; preparaciones medicinales para el tratamiento de la halitosis; preparaciones medicinales para eliminar verrugas; preparaciones medicinales para limpiar la piel y las heridas; preparaciones medicinales para pulverización nasal; preparaciones medicinales para tratamientos bucales; preparaciones medicinales para tratamientos cutáneos; preparaciones medicinales para tratar enfermedades infecciosas; preparaciones medicinales para uso en cuanto aditivos alimenticios para consumo humano; preparaciones medicinales para uso oncológico; preparaciones para el cuidado bucal, medicinales; preparaciones para el cuidado dental, medicinales; preparaciones para elaborar bebidas medicinales; preparaciones terapéuticas medicinales para baños; preparaciones y sustancias medicinales; preparados medicinales de protección solar; preparados medicinales para baños de pies; preparados medicinales para uso en cuanto aditivos alimenticios para consumo humano; productos medicinales para el cuidado de la piel; productos medicinales para lavarse las manos; productos para el cuidado de la piel, medicinales; productos y preparaciones medicinales para el cuidado de la piel; raíces medicinales; relajantes musculares medicinales para el baño; sales de baño medicinales; sales y preparaciones medicinales para el baño; serum calmante para la piel [medicinales]; serum calmante para la piel, medicinales; serum de alivio para la piel [medicinales]; serum de alivio para la piel, medicinales; soluciones de aceites medicinales; soluciones líquidas medicinales que contienen vitaminas, para los cigarrillos electrónicos; soluciones medicinales inyectables; sprays medicinales para aliviar de las mordeduras y picaduras de insectos; suplementos alimenticios medicinales a base de colágeno; suplementos alimenticios medicinales para consumo humano; suplementos medicinales para productos alimenticios de consumo humano; suplementos nutricionales no medicinales para alimentos para animales; tiritas que incorporan sustancias medicinales; tisanas medicinales; toallitas impregnadas con sustancias medicinales; toallitas impregnadas de cremas medicinales; toallitas o gasas impregnadas de cremas medicinales; tónicos medicinales; tónicos medicinales para la piel; ungüentos medicinales para el tratamiento de afecciones cutáneas; ungüentos medicinales para tratar afecciones dermatológicas; velas de masaje medicinales; veneno de abeja con fines medicinales o terapéuticos; veneno de abeja con fines terapéuticos o medicinales.
44. Asesoramiento en materia de salud; asesoramiento en salud pública; asesoramiento sobre la salud; consultoría en cuidados de la salud; consultoría médica en materia de salud; consultoría sobre salud mental y bienestar; estudios de evaluación de riesgos en materia de salud; estudios de evaluación de riesgos para la salud; evaluación de riegos para la salud; servicios de asesoramiento de salud pública para viajeros internacionales; servicios de asesoramiento médico de salud pública para viajeros internacionales; servicios de balneoterapia para mejorar la salud y el bienestar físico y mental; servicios de balneoterapia prestados en balnearios para mejorar la salud y el bienestar físico y espiritual; servicios de bienestar en cuanto asesoramiento en salud y nutrición; servicios de centros de salud; servicios de chequeo de salud mental; servicios de chequeo de salud por colonoscopia; servicios de clínicas de salud; servicios de consultoría en materia de asistencia médica prestados por médicos y otros profesionales de la salud; servicios de consultoría en salud; servicios de consultoría terapéutica y de rehabilitación en el ámbito de la salud y la seguridad en el trabajo; servicios de control de la salud mental; servicios de control de salud por colonoscopia; servicios de evaluación de riegos para la salud; servicios de examen de salud mental; servicios de exploración de la salud; servicios de exploración de la salud mental; servicios de exploración de salud por colonoscopia; servicios de exámenes de salud en el ámbito de la apnea del sueño; servicios de exámenes de salud en el ámbito del asma; servicios de exámenes de salud mental; servicios de odontología, optometría y salud mental; servicios de orientación en salud pública; servicios de salud; servicios de salud mental; servicios de salud relativos a las naturopatía; servicios de salud y de belleza; servicios de salud y de belleza para animales; servicios de salud y de belleza para personas; servicios de salud y de belleza para personas y animales; servicios de tratamientos de salud y de belleza; servicios de tratamientos de salud y de belleza prestados por saunas, salones de belleza, sanatorios, peluquerías y salones de masajes; servicios prestados por balnearios para mejorar la salud y el bienestar físico y mental, incluidos masajes, tratamientos faciales y corporales, así como cuidados cosméticos para el cuerpo; servicios terapéuticos y de rehabilitación en el ámbito de la salud y la seguridad en el trabajo; suministro de informaciones médicas en el ámbito de la salud; suministro de información en materia de salud; suministro de información sobre salud; suministro de información sobre salud mental y bienestar; suministro de información sobre salud y bienestar; suministro de información sobre servicios de salud por medios electrónicos; alquiler de equipos para cuidados de higiene y de belleza para personas; alquiler de máquinas y aparatos para salones de belleza o barberías; alquiler de máquinas y aparatos para salones de belleza o para peluquerías de caballero; alquiler de máquinas y aparatos para salones de belleza o peluquerías de caballeros; alquiler de toallas y albornoces para salones de belleza; alquiler de toallas y salidas de baño para salones de belleza; asesoramiento en belleza; asesoramiento en materia de cuidados de belleza; asesoría en belleza; consultas en materia de la belleza; consultoría en belleza; consultoría en tratamientos corporales y de belleza; consultoría suministrada por internet en materia de tratamientos corporales y de belleza; cuidado de belleza de los pies; cuidados de higiene y de belleza; cuidados de higiene y de belleza para animales; cuidados de higiene y de belleza para personas; cuidados de higiene y de belleza para personas y animales; cuidados médicos, higiénicos y de belleza; higiene humana y cuidados de belleza; puesta a disposición de servicios de sauna, salones de belleza, peluquerías y masajes; servicios de asistencia sanitaria y belleza; servicios de asistencia sanitaria y belleza para animales; servicios de asistencia sanitaria y de cuidado de belleza; servicios de atención sanitaria y belleza; servicios de atención sanitaria y belleza para animales; servicios de atención sanitaria y de cuidado de belleza; servicios de belleza prestados por balnearios; servicios de consultas sobre belleza; servicios de consultas sobre tratamientos de belleza; servicios de consultoría en belleza; servicios de cuidados de belleza; servicios de cuidados de belleza e higiene; servicios de cuidados de belleza y peluquería; servicios de cuidados de higiene y de belleza; servicios de cuidados de higiene y de belleza para personas; servicios de institutos de belleza de la piel; servicios de peluquerías y salones de belleza; servicios de salones de belleza; servicios de salón de belleza para animales de compañia; servicios de salón de belleza para mascotas; servicios de tratamientos de belleza; servicios de tratamientos de belleza, en particular para pestañas; suministro de información en materia de belleza; suministro de información sobre el alquiler de máquinas y aparatos para salones de belleza o barberías; suministro de información sobre el alquiler de máquinas y aparatos para salones de belleza o peluquerías de caballeros; suministro de información sobre peluquerías y salones de belleza; suministro de información sobre servicios prestados por salones de belleza; terapias de belleza; tratamientos de belleza; tratamientos de belleza para animales; tratamientos de higiene y belleza para personas o animales; tratamientos de higiene y de belleza para personas o animales; alquiler de anteojos; alquiler de anteojos [óptica]; servicios de banco de ojos; terapia de masajes curativos a las plantas medicinales.
</t>
  </si>
  <si>
    <t>m Medicann Cool Therapy</t>
  </si>
  <si>
    <t>GINA PAOLA  TOSCANO LUCAS, Cartagena, CARTAGENA, BOLIVAR, CO</t>
  </si>
  <si>
    <t xml:space="preserve">5. Productos farmacéuticos, preparaciones para uso médico y veterinario.
</t>
  </si>
  <si>
    <t>ORIGEN ANCESTRAL</t>
  </si>
  <si>
    <t xml:space="preserve"> MIGUEL ALBERTO RONDEROS DUMIT, CL 163 A 13 B 60, BOGOTÁ, D.C., CO</t>
  </si>
  <si>
    <t xml:space="preserve">5. SUPLEMENTO DIETARIOS Y SUPLEMENTOS NUTRICIONALES.
</t>
  </si>
  <si>
    <t>Presto!</t>
  </si>
  <si>
    <t xml:space="preserve"> AMAZON TECHNOLOGIES, INC., 410 Terry Ave North, Seattle, Washington 98109, SEATTLE, WASHINGTON, US</t>
  </si>
  <si>
    <t>3, 5, 16, 21</t>
  </si>
  <si>
    <t xml:space="preserve">3. Difusores de caña de fragancia de aire; productos para aromatizar el aire; preparaciones de limpieza; detergentes para lavavajillas; suavizantes de telas; fragancias para uso doméstico; preparaciones para lavar frutas y hortalizas; blanqueador para ropa; detergentes para ropa; acondicionador de telas para ropa; toallitas para la colada impregnadas con suavizante; almidón de lavandería; jabones no medicados; quitamanchas; detergentes para inodoros; toallitas impregnadas con una preparación limpiadora.
5. Desinfectantes; preparaciones para desodorizar el aire; preparaciones para purificar el aire; preparaciones desinfectantes para todo uso; preparaciones desodorantes multiusos para uso doméstico, comercial o industrial; detergentes antibacterianos; jabón antibacterial; toallitas antibacteriales; jabón desinfectante; limpiadores desinfectantes para inodoros; toallitas desinfectantes; desodorantes de telas; jabón medicado; productos desinfectantes para uso doméstico; toallitas desinfectantes; desodorantes de tocador.
16. Pañuelo facial; bolsas de basura; servilletas de papel; toallas de papel; papel higiénico; papel de baño.
21. Escobas; trapeadores; cepillos de limpieza para uso doméstico; paños de limpieza; esponjas de limpieza; cubos para trapeadores; cabezas desechables de trapeador; escurridores para uso doméstico.
</t>
  </si>
  <si>
    <t>Zolbic</t>
  </si>
  <si>
    <t xml:space="preserve"> TECNOQUIMICAS S.A., CALLE 23 NO. 7 - 39, CALI, VALLE DEL CAUCA, CO</t>
  </si>
  <si>
    <t xml:space="preserve">5. Medicamento gastrointestinal para uso exclusivo en humanos.
</t>
  </si>
  <si>
    <t>Plenux</t>
  </si>
  <si>
    <t xml:space="preserve">5. Medicamentos para uso humano; productos farmacéuticos.
</t>
  </si>
  <si>
    <t>PRETIUM</t>
  </si>
  <si>
    <t>LAURA CAMILA ROA VALDERRAMA, diagonal 77b #123a-43 casa 90, BOGOTÁ, D.C., CO</t>
  </si>
  <si>
    <t xml:space="preserve">3. Aceites perfumados para el cuidado de la piel; cremas cosméticas para el cuidado de la piel; espumas para el cuidado de la piel; leches limpiadoras para el cuidado de la piel; lociones cosméticas para el cuidado de la piel; preparaciones antiarrugas para el cuidado de la piel; preparaciones cosméticas para el cuidado de la piel; cosméticos y preparaciones de tocador no medicinales; dentífricos no medicinales; productos de perfumería, aceites esenciales.
5. Aceites para el cuidado de la piel, medicinales; cremas medicinales para el cuidado de la piel; preparaciones farmacéuticas para cuidar la piel; productos para el cuidado de la piel, medicinales.
</t>
  </si>
  <si>
    <t>RADOMEX</t>
  </si>
  <si>
    <t xml:space="preserve">5. Productos farmacéuticos para uso humano para tratar el dolor o la inflamación de músculos y de las articulaciones.
</t>
  </si>
  <si>
    <t>T TORNEL LABORATORIOS</t>
  </si>
  <si>
    <t xml:space="preserve"> Laboratorios Tornel S.A. de C.V., Goldsmith 228 Polanco, Polanco III Secc, Miguel Hidalgo, Ciudad de México, CDMX. CP 11550, México., CIUDAD DE MEXICO, MEXICO, MX</t>
  </si>
  <si>
    <t xml:space="preserve">5. Productos y preparaciones para uso veterinario; productos higiénicos y sanitarios para uso veterinario; alimentos y sustancias dietéticas para uso veterinario; complementos alimenticios para animales; desinfectantes; productos para eliminar animales dañinos; fungicidas, herbicidas.
</t>
  </si>
  <si>
    <t xml:space="preserve">ERFOTINIB </t>
  </si>
  <si>
    <t xml:space="preserve"> EUGIA PHARMA SPECIALTIES LIMITED, Plot no 2, Maitri Vihar, Ameerpet , HYDERABAD, TELANGANA 500038, IN</t>
  </si>
  <si>
    <t>BARDAM</t>
  </si>
  <si>
    <t>PFENERGY</t>
  </si>
  <si>
    <t xml:space="preserve"> INNOVAK GLOBAL, S.A. DE C.V., BOULEVARD VICENTE LOMBARDO TOLEDANO 6615, COLONIA CONCORDIA, CHIHUAHUA, CHIHUAHUA 31375, MX</t>
  </si>
  <si>
    <t xml:space="preserve">1. Productos químicos para la agricultura, horticultura y silvicultura, excepto fungicidas, herbicidas, insecticidas y parasiticidas; preparaciones biológicas que no sean para uso médico ni veterinario; productos químicos de protección contra el tizón; abonos orgánicos; fertilizantes; productos fertilizantes; preparaciones para enmendar suelos; nutrientes para flores; productos para conservar las flores.
5. Productos para eliminar animales dañinos; Fungicidas; Herbicidas; Pesticidas; Insecticidas; Acaricidas, Biocidas; Germicidas; Parasiticidas.
</t>
  </si>
  <si>
    <t>OKii</t>
  </si>
  <si>
    <t>Luisa Fernanda   Gaitan Sierra, ‪Av. Carrera 9 No. 115-06/30 u Oficina 506, BOGOTÁ, D.C., CO</t>
  </si>
  <si>
    <t xml:space="preserve">5. Marihuana para uso médico; cannabis medicinal en forma de aceites para facilitar la administración de fármacos; cannabis medicinal en forma de tisanas; cannabis medicinal en forma de tisanas para uso medicinal; extractos de hierbas medicinales; extractos de hierbas medicinales para uso médico; extractos de hierbas para uso medicinal; extractos de plantas medicinales; extractos de plantas y hierbas para uso medicinal; extractos herbarios para uso medicinal; hierbas medicinales; medicinas; medicinas herbarias; preparaciones medicinales.
</t>
  </si>
  <si>
    <t>SALCOL  Sal mineralizada - alimentando su ganado</t>
  </si>
  <si>
    <t xml:space="preserve"> PROSALMIN S.A.S., SIN ESTABLECER, SINCELEJO, SUCRE, CO</t>
  </si>
  <si>
    <t xml:space="preserve">5. Productos farmacéuticos, preparaciones para uso veterinario; productos higiénicos y sanitarios; alimentos y sustancias dietéticas para uso veterinario, complementos alimenticios para animales; sales minerales para ganado: emplastos, material para apósitos; desinfectantes; productos para eliminar animales dañinos; fungicidas, herbicidas.
</t>
  </si>
  <si>
    <t>PAWTECT</t>
  </si>
  <si>
    <t xml:space="preserve"> COASPHARMA SAS, CALLE 18 A NO. 28 A - 43, BOGOTÁ, D.C., CO</t>
  </si>
  <si>
    <t xml:space="preserve">5. Antiparasitarios; medicamentos para uso veterinario; productos farmacéuticos, preparaciones para uso médico y veterinario.
</t>
  </si>
  <si>
    <t xml:space="preserve">ADRAR </t>
  </si>
  <si>
    <t>BIO-CROP SAS.</t>
  </si>
  <si>
    <t xml:space="preserve"> AGRISCIENCES COLOMBIA S.A.S., CRA 11A # 93A-80 OF 305, BOGOTÁ, D.C. 11001, CO</t>
  </si>
  <si>
    <t xml:space="preserve">5. Insecticidas; insecticidas para uso agrícola; preparaciones insecticidas.
</t>
  </si>
  <si>
    <t>Cannbidol</t>
  </si>
  <si>
    <t>ANA MARIA SAAVEDRA SUAREZ, Carrera 1 A # 11 - 64 Casa 25, CHIA, CUNDINAMARCA, CO</t>
  </si>
  <si>
    <t>Dursolic</t>
  </si>
  <si>
    <t>NEBICARD</t>
  </si>
  <si>
    <t>LABORATORIOS
LEGRAND S.A.</t>
  </si>
  <si>
    <t xml:space="preserve">5. Producto farmacéutico para el tratamiento de la insuficiencia cardíaca, el manejo de la hipertensión leve a moderada, la hipertensión esencial no complicada, el manejo de la angina de pecho, el infarto de miocardio en pacientes mayores de 70 años.
</t>
  </si>
  <si>
    <t>DIASTOP</t>
  </si>
  <si>
    <t xml:space="preserve"> SANZUB PHARMALAB S.A.S, CR 18 A·102-41 APTO 601, BOGOTÁ, D.C., CO</t>
  </si>
  <si>
    <t xml:space="preserve">5. Medicamentos; medicamentos contra la diarrea.
</t>
  </si>
  <si>
    <t>LAXOFF-MECTA</t>
  </si>
  <si>
    <t>Ipsen Consumer HealthCare</t>
  </si>
  <si>
    <t xml:space="preserve"> UNITED PHARMACEUTICAL S.A.S., cra 49 #165-40 Torre 1 oficina 305, BOGOTÁ, D.C., CO</t>
  </si>
  <si>
    <t>UTERUS</t>
  </si>
  <si>
    <t xml:space="preserve"> WALPER S.A.S, CRA 75 N° 13 A - 57, CALI, VALLE DEL CAUCA, CO</t>
  </si>
  <si>
    <t xml:space="preserve">5. PRODUCTOS FARMACÉUTICOS DE USO VETERINARIO.
</t>
  </si>
  <si>
    <t>Mungosvital Mobility</t>
  </si>
  <si>
    <t xml:space="preserve"> MUNGOS S.A.S, Carrera 50 # 79 sur -25, LA ESTRELLA, ANTIOQUIA 55460, CO</t>
  </si>
  <si>
    <t xml:space="preserve">5. Alimentos complementarios para uso veterinario; alimentos dietéticos medicinales para animales; alimentos dietéticos para uso veterinario; alimentos medicinales para animales; alimentos y bebidas dietéticos para uso médico o veterinario; alimentos y bebidas dietéticos para uso veterinario; alimentos y sustancias dietéticas para uso médico o veterinario; complementos medicinales para alimentos destinados a los animales; complementos nutricionales para alimentos de animales; suplementos nutricionales no medicinales para alimentos para animales; suplementos nutricionales para alimentos de animales para uso médico.
31. Alimentos enlatados para gatos; alimentos enlatados para perros; alimentos equilibrados para animales; alimentos para animales; alimentos para gatos; alimentos para perros.
</t>
  </si>
  <si>
    <t>CALTRAPLUSS D</t>
  </si>
  <si>
    <t>GLAXOSMITHKLINE
CONSUMER HEALTHCARE HOLDINGS (US) LLC</t>
  </si>
  <si>
    <t>LEIDYS CONTRERAS SERRANO, MZ D CASA 36, VALLEDUPAR, CESAR, CO</t>
  </si>
  <si>
    <t xml:space="preserve">5. Complementos alimenticios a base de proteínas; complementos alimenticios de vitaminas y minerales.
</t>
  </si>
  <si>
    <t>FIB MAX</t>
  </si>
  <si>
    <t>CI Sociedad Industrial de Grasas Vegetales SIGRA S.A.</t>
  </si>
  <si>
    <t xml:space="preserve">5. Complementos nutricionales; complementos nutricionales y alimenticios.
</t>
  </si>
  <si>
    <t>COMPLEVIT</t>
  </si>
  <si>
    <t xml:space="preserve">5. Complementos nutricionales y alimenticios.
</t>
  </si>
  <si>
    <t>Petluditos</t>
  </si>
  <si>
    <t>Robin Santiago Salgado Umbarila, Calle 78D #112F - 47, BOGOTÁ, D.C. 111031, CO</t>
  </si>
  <si>
    <t xml:space="preserve">3. Champús no medicinales para animales de compañía [preparaciones de aseo, que no sean para uso veterinario]; cosméticos para animales; desodorantes para animales; productos cosméticos para el cuidado de la piel de los perros; productos para lavar perros [champús]; preparaciones de jabón no medicinales; productos de jabón; productos de limpieza en spray; enjuagues bucales no medicinales para animales de compañía; limpiadores para camas [arena] de animales; preparaciones para el cuidado y limpieza de los animales.
5. Champús insecticidas para animales; champús medicinales para animales de compañía; preparaciones medicinales para el aseo de animales; preparaciones repelentes para animales, pájaros e insectos; repelentes para animales; desodorizantes de aire en sprays; sprays antipulgas; desodorantes para camas de animales.
</t>
  </si>
  <si>
    <t>CVS</t>
  </si>
  <si>
    <t xml:space="preserve"> CVS S.A.S, CALLE 17 #30-52, BUCARAMANGA, SANTANDER 60002, CO</t>
  </si>
  <si>
    <t xml:space="preserve">5. Vacunas para uso humano.
</t>
  </si>
  <si>
    <t>Açaí Casanareño</t>
  </si>
  <si>
    <t>Angie Nathalia Morales Pérez, Cll 9 # 80 c 07 , BOGOTA, CUNDINAMARCA, CO</t>
  </si>
  <si>
    <t>5, 29, 42</t>
  </si>
  <si>
    <t xml:space="preserve">5. Complementos dietéticos a base de acai en polvo; suplementos dietéticos a base de acai en polvo.
29. Pulpa de açaí; pulpa de fruta.
42. Servicios de pruebas, inspección e investigación sobre agricultura, ganadería y piscicultura.
</t>
  </si>
  <si>
    <t>TRANSFACT+</t>
  </si>
  <si>
    <t>4LIFE TRADEMARKS, LLC.</t>
  </si>
  <si>
    <t>Bryan Nicolas  Barrera Cubides , Cra 79 # 19 A -  86 Torre 2 Apto 1313, BOGOTÁ, D.C., CO</t>
  </si>
  <si>
    <t xml:space="preserve">5. Preparaciones y suplementos alimenticios elaborados de productos naturales.
</t>
  </si>
  <si>
    <t>V VIKING WHEY</t>
  </si>
  <si>
    <t xml:space="preserve">5. Bebidas nutricionales en cuanto suplementos alimenticios; suplementos vitamínicos; preparaciones y suplementos nutricionales para la salud; preparaciones y suplementos para la salud; suplementos alimenticios; suplementos alimenticios dietéticos; suplementos alimenticios minerales; complementos dietéticos; complementos nutricionales, complementos alimenticios a base de colágeno , suplementos alimenticios medicinales a base de colágeno.
</t>
  </si>
  <si>
    <t>LIP-OCLA1000</t>
  </si>
  <si>
    <t>GBC CREMA</t>
  </si>
  <si>
    <t xml:space="preserve"> COSMETIPHARMA DE COLOMBIA S.A.S, CALLE 3 D # 65-47, CALI, VALLE DEL CAUCA, VALLE DEL CAUCA, CO</t>
  </si>
  <si>
    <t xml:space="preserve">5. Cremas medicamentosas.
</t>
  </si>
  <si>
    <t>APIVITAE</t>
  </si>
  <si>
    <t xml:space="preserve"> Galenicum Vitae, S.L.U, Diagonal 123, planta 11, BARCELONA, BARCELONA 08005, ES</t>
  </si>
  <si>
    <t xml:space="preserve">5. Producto farmacéutico para prevenir la formación de coágulos de sangre.
</t>
  </si>
  <si>
    <t>DUTAMSUVITAE</t>
  </si>
  <si>
    <t xml:space="preserve">5. Producto farmacéutico para el tratamiento de la hiperplasia benigna de próstata.
</t>
  </si>
  <si>
    <t>ULTCBRIN</t>
  </si>
  <si>
    <t>LABORATORIOS FINLAY DE COLOMBIA S.A.S.</t>
  </si>
  <si>
    <t xml:space="preserve">TRIN ENERGY INTERNATURAL </t>
  </si>
  <si>
    <t>PLANTUR</t>
  </si>
  <si>
    <t>SINDICATO EMPRESARIAL COLOMBIANO S.A.S.</t>
  </si>
  <si>
    <t xml:space="preserve"> DR. KURT WOLFF GMBH &amp; CO. KG, JOHANNESWERKSTRASSE 34-36, 33611 BIELEFELD, ALEMANIA, BIELEFELD, NORDRHEIN-WESTFALEN, DE</t>
  </si>
  <si>
    <t xml:space="preserve">3. Artículos de tocador; preparaciones para la limpieza del cuerpo y el cuidado de la belleza; preparaciones y tratamientos para el cabello; cosméticos para el cabello; champú; colorantes para el cabello; lociones capilares; tonificantes para el cabello; líquido para el cabello; acondicionador para el cabello; preparaciones capilares de protección solar; preparaciones con filtro solar para el cuero cabelludo.
5. Preparaciones para uso médico y veterinario; suplementos dietéticos y preparaciones dietéticas; remedios naturales y farmacéuticos; preparaciones medicinales para el cuidado capilar; lociones capilares medicinales; lociones medicinales para el cabello; preparaciones medicinales para el crecimiento del cabello; preparaciones con filtro solar para el cuero cabelludo para uso farmacéutico.
</t>
  </si>
  <si>
    <t xml:space="preserve">ALEVI SPORTS WEAR </t>
  </si>
  <si>
    <t>Manuela Rendon, Calle 14 Sur #43 A 100, Santa Maria de Los Angeles, edificio Turkeza, apartamento 1004, MEDELLIN, ANTIOQUIA, CO</t>
  </si>
  <si>
    <t>5, 25, 30</t>
  </si>
  <si>
    <t xml:space="preserve">5. Complementos alimenticios en polvo a base de proteinas; suplementos alimenticios en polvo a base de proteinas; antioxidantes [suplementos dietéticos]; antioxidantes utilizados como suplementos alimenticios; barras de probióticos utilizadas como suplementos dietéticos; barras energéticas utilizadas como suplementos dietéticos; barras energéticas utilizadas como suplementos nutricionales; batidos de leche en cuanto suplementos proteínicos; preparaciones y suplementos para la salud; bebidas nutricionales en cuanto suplementos alimenticios; proteínas de suero de leche en cuanto suplementos alimenticios; suplementos alimenticios; suplementos alimenticios a base de proteínas; suplementos alimenticios antioxidantes; suplementos alimenticios dietéticos; suplementos alimenticios dietéticos en polvo; suplementos alimenticios para humanos.
25. Ropa de deporte; ropa de confección; ropa informal; ropa interior; ropa para ciclistas; ropa interior de hombre; ropa interior de mujer; tops [ropa]; ropa de hombre; ropa de mujer; ropa de ocio; ropa de oficina; ropa de playa; ropa impermeable; bolsas para zapatillas deportivas; calzado para actividades deportivas; camisas deportivas; camisas deportivas de manga corta; chaquetas deportivas; mallas deportivas; guantes (prendas de vestir); guantes de ciclismo; guantes tejidos; gorros; gorras; bandanas [pañuelos para el cuello]; bandanas de ciclismo.
30. Barras de cereales; galletas de cereales; pan multicereales; productos a base de cereales sin gluten; productos alimenticios elaborados principalmente a partir de cereales; refrigerios a base de cereales; snacks a base de cereales; bizcochos de chocolate y nueces [brownies].
</t>
  </si>
  <si>
    <t>FLUXEND</t>
  </si>
  <si>
    <t xml:space="preserve"> QUIRUPOS SAS, CARRERA 31A No. 2A-77, BOGOTA, CUNDINAMARCA, CO</t>
  </si>
  <si>
    <t xml:space="preserve">5. Complementos a base de hierbas.
</t>
  </si>
  <si>
    <t>Arginina NM</t>
  </si>
  <si>
    <t xml:space="preserve"> REGENERATIVE PHARMA S.AS., Carrera 67 No. 167-61 OF305, BOGOTA, CUNDINAMARCA 110111, CO</t>
  </si>
  <si>
    <t xml:space="preserve">5. Clase 05. Alimentos con propósitos médicos.
</t>
  </si>
  <si>
    <t>Aa Esenciales NM</t>
  </si>
  <si>
    <t xml:space="preserve">ULZOFAR </t>
  </si>
  <si>
    <t xml:space="preserve"> LABORATORIO FARMA COMERCIAL S.A.S, CALLE 21 13 - 37 CASA 2B CONJUNTO RES COVADONDA , CHIA, CUNDINAMARCA, CO</t>
  </si>
  <si>
    <t xml:space="preserve">5. Producto farmacéutico y fitoterapeutico utilizado como antiulceroso, reflujo gastroesofágico, acidez estomal, comprendio en clase 5 de la clasificación internacional de Niza.
</t>
  </si>
  <si>
    <t xml:space="preserve">SINDOLFAST </t>
  </si>
  <si>
    <t xml:space="preserve">5. Producto farmacéutico y fitoterapeutico usado para el alivio del dolor y la inflamación, la migraña, dolor de cabeza, analgésico.
</t>
  </si>
  <si>
    <t>SANSON LA FUERZA DEL CABELLO</t>
  </si>
  <si>
    <t xml:space="preserve"> BORN D.C. S.A.S, CARRERA 8A NO. 109-11, GIRON, SANTANDER, CO</t>
  </si>
  <si>
    <t xml:space="preserve">5. Estimulantes para el crecimiento del cabello; preparaciones medicinales para el crecimiento del cabello.
</t>
  </si>
  <si>
    <t>DIPIREX</t>
  </si>
  <si>
    <t xml:space="preserve"> FARMABASE SAÚDE ANIMAL LTDA , Praça Emilio Marconato, 1000;  C.P.: 13820-000, JAGUARIUNA, CHACARA PRIMAVERA, BR</t>
  </si>
  <si>
    <t xml:space="preserve">5. Producto veterinario destinado a porcinos.
</t>
  </si>
  <si>
    <t>PROFENAC</t>
  </si>
  <si>
    <t>OXIBAC</t>
  </si>
  <si>
    <t>SUICOX</t>
  </si>
  <si>
    <t>LAZARO VITAL SEX</t>
  </si>
  <si>
    <t xml:space="preserve">5. Preparaciones para aumentar el deseo sexual; preparaciones para aumentar la excitación sexual; preparaciones para mejorar la prestación sexual; preparados para aumentar el deseo sexual; preparados para aumentar la excitación sexual; preparados para mejorar la prestación sexual.
</t>
  </si>
  <si>
    <t>D'Tierra NATURAL ARTESANAL</t>
  </si>
  <si>
    <t>EVA NATHALIE LOZANO GARCIA, CRA. 14 C. N° 10 - 08 CHIA, CHIA, CUNDINAMARCA, CO</t>
  </si>
  <si>
    <t>48 HORAS PREVENCIÓN CONTRA BACTERIAS</t>
  </si>
  <si>
    <t xml:space="preserve"> THE CLOROX COMPANY, 1221 BROADWAY, OAKLAND, CALIFORNIA 94612, U.S.A., OAKLAND, CALIFORNIA, US</t>
  </si>
  <si>
    <t xml:space="preserve">3. Preparaciones para blanquear y otras sustancias para lavar la ropa; preparaciones para limpiar y desengrasar de uso doméstico; preparaciones blanqueadoras para uso doméstico; preparaciones para desatascar desagües; quitamanchas; toallitas impregnadas de preparaciones de limpieza para uso doméstico.
5. Desinfectantes, germicidas y bactericidas de uso doméstico; desodorantes de ambientes; desinfectantes de ambientes en aerosol; preparaciones anti-moho para uso doméstico; toallitas impregnadas de preparaciones desinfectantes, germicidas, antibacterianas de uso doméstico.
</t>
  </si>
  <si>
    <t>NATIBUS</t>
  </si>
  <si>
    <t>CHRISTIAN DAVID VEGA RIVERA, CALLE 50  # 22 - 07, NEIVA, HUILA, CO</t>
  </si>
  <si>
    <t xml:space="preserve">5. Productos farmacéuticos; preparaciones y suplementos nutricionales para la salud; preparaciones y suplementos para la salud; productos dietéticos y suplementos nutricionales para uso médico; medicamentos; medicamentos de venta libre; alimentos y sustancias dietéticas para uso médico o veterinario; alimentos y sustancias dietéticas para uso médico o veterinario, alimentos para bebés; alimentos a base de albúmina para uso médico; alimentos dietéticos para uso médico; alimentos para bebés; alimentos para bebés especialmente leche en polvo para bebés; alimentos para bebés y niños pequeños; alimentos para diabéticos; alimentos para lactantes; alimentos para niños; alimentos para niños pequeños; alimentos sin gluten adaptados a fines médicos; alimentos y aditivos alimentarios sin gluten, todos adecuados a fines médicos; alimentos y bebidas dietéticos para uso médico; alimentos y bebidas dietéticos para uso médico o veterinario; alimentos y suplementos alimenticios sin gluten, todos adecuados a fines médicos.
</t>
  </si>
  <si>
    <t>HONEY STINGER</t>
  </si>
  <si>
    <t>Maria Paula Perez Nader, Carrera 11A # 90-34, BOGOTA, CUNDINAMARCA, CO</t>
  </si>
  <si>
    <t xml:space="preserve">5. Suplementos.
</t>
  </si>
  <si>
    <t xml:space="preserve">PHARMABIDIOL MEDICAL CANNABIS </t>
  </si>
  <si>
    <t>Camilo Andres  Castro Bejarano, Cr 81 C No. 22 C 29, BOGOTÁ, D.C., CO</t>
  </si>
  <si>
    <t xml:space="preserve">5. Medicamentos; productos farmacéuticos para uso humano; bebidas nutricionales en cuanto suplementos alimenticios; alimentos y bebidas dietéticos para uso médico o veterinario; alimentos y bebidas dietéticos para uso veterinario; complementos nutricionales para seres humanos y animales; preparaciones y suplementos nutricionales para la salud; complementos alimenticios en polvo a base de cáñamo; cannabis para uso médico.
</t>
  </si>
  <si>
    <t>SD2022/0036902</t>
  </si>
  <si>
    <t>ACTILIFE</t>
  </si>
  <si>
    <t xml:space="preserve"> BOYDORR S.A.S., CARRERA 3 ESTE NO.20-84, CHIA, CUNDINAMARCA, CO</t>
  </si>
  <si>
    <t xml:space="preserve">5. Alimentos dietéticos para uso médico; alimentos para diabéticos; alimentos y bebidas dietéticos para uso médico; aislados de proteína de suero de leche [complementos dietéticos]; aislados de proteína de suero de leche [suplementos dietéticos]; aislados de proteína de suero de leche en cuanto complementos dietéticos; aislados de proteína de suero de leche en cuanto suplementos dietéticos; complementos alimenticios; complementos alimenticios a base de caseína; complementos alimenticios a base de proteínas; complementos alimenticios dietéticos; complementos alimenticios de vitaminas y minerales; concentrados de proteína de suero de leche [complementos dietéticos]; concentrados de proteína de suero de leche [suplementos dietéticos]; concentrados de proteína de suero de leche en cuanto complementos dietéticos; concentrados de proteína de suero de leche en cuanto suplementos dietéticos; suplementos alimenticios; suplementos alimenticios a base de caseína; suplementos alimenticios a base de proteínas; complementos alimenticios en polvo a base de proteinas.
</t>
  </si>
  <si>
    <t>Living Natural Ultra SX</t>
  </si>
  <si>
    <t>Marilyn Natalia Duarte Garcia, TV 42 No. 3 B - 64 , BOGOTA, CUNDINAMARCA, CO</t>
  </si>
  <si>
    <t xml:space="preserve">5. Productos farmacéuticos, preparaciones para uso médico y veterinario; productos higiénicos y sanitarios para uso médico; alimentos y sustancias dietéticas para uso médico o veterinario, Suplementos dietarios, alimentos para bebés; complementos alimenticios para personas o animales; emplastos, material para apósitos; material para empastes e improntas dentales; desinfectantes; productos para eliminar animales dañinos; fungicidas, herbicidas.
</t>
  </si>
  <si>
    <t>Living Natural Ultra MX</t>
  </si>
  <si>
    <t>Living Natural Vita C Brin</t>
  </si>
  <si>
    <t>Living Natural Higa Life</t>
  </si>
  <si>
    <t>Living Natural Hepa Life</t>
  </si>
  <si>
    <t>Living Natural Vitafrut</t>
  </si>
  <si>
    <t>Living Natural Vitalnat</t>
  </si>
  <si>
    <t>Living Natural Rino liv</t>
  </si>
  <si>
    <t>WIL-ZYM</t>
  </si>
  <si>
    <t>SANTHER - FABRICA DE PAPEL SANTA THEREZINHA S/A</t>
  </si>
  <si>
    <t xml:space="preserve"> WILLOW PHARMA S.A.S, CARRERA 50 # 50 - 14 PISO 12 EDIFICIO BANCO POPULAR, MEDELLIN, ANTIOQUIA, CO</t>
  </si>
  <si>
    <t>MEGA We Care ACUVICTA</t>
  </si>
  <si>
    <t xml:space="preserve"> MEGA LIFESCIENCES PUBLIC COMPANY LIMITED, 384, Village No. 4, 6 Alley, Pattana 3 Road, Bangpoo Industrial Estate, Praeksa Subdistrict, Mueang Samut Prakarn District, Samut Prakarn Province. Thailand., SAMUT PRAKAN, SAMUT PRAKAN, TH</t>
  </si>
  <si>
    <t xml:space="preserve">5. Productos farmacéuticos y preparaciones para uso médico; alimentos y sustancias dietéticas para uso médico; suplementos dietarios para seres humanos; productos higiénicos y sanitarios para uso médico; medicamentos para uso médico; productos farmacéuticos y preparaciones para uso médico que contengan tramadol - paracetamol; productos farmacéuticos y preparaciones para uso médico para el tratamiento de dolor moderado a intenso; medicamentos para el tratamiento de dolores severos.
</t>
  </si>
  <si>
    <t>Apotox</t>
  </si>
  <si>
    <t xml:space="preserve">5. Medicamentos de uso humano, productos para el tratamiento de patologías digestivas, productos para el tratamiento de alteraciones hepáticas, suplementos dietarios.
</t>
  </si>
  <si>
    <t>ALEVI</t>
  </si>
  <si>
    <t xml:space="preserve">5. Complementos alimenticios en polvo a base de proteinas; suplementos alimenticios en polvo a base de proteinas; antioxidantes [suplementos dietéticos]; antioxidantes utilizados como suplementos alimenticios; barras de probióticos utilizadas como suplementos dietéticos; barras energéticas utilizadas como suplementos dietéticos; barras energéticas utilizadas como suplementos nutricionales; batidos de leche en cuanto suplementos proteínicos; preparaciones y suplementos para la salud; bebidas nutricionales en cuanto suplementos alimenticios; proteínas de suero de leche en cuanto suplementos alimenticios; suplementos alimenticios; suplementos alimenticios a base de proteínas; suplementos alimenticios antioxidantes; suplementos alimenticios dietéticos; suplementos alimenticios dietéticos en polvo.
25. Ropa de deporte; ropa de confección; ropa informal; ropa interior; ropa interior de hombre; ropa interior de mujer; ropa interior femenina; ropa interior para caballeros; ropa para ciclistas; ropa de hombre; ropa de mujer; ropa de ocio; ropa de oficina; ropa de playa; ropa impermeable; bolsas para zapatillas deportivas; calzado para actividades deportivas; camisas deportivas; camisas deportivas de manga corta; chaquetas deportivas; mallas deportivas; guantes (prendas de vestir); guantes de ciclismo; gorros; gorras; bandanas [pañuelos para el cuello]; bandanas de ciclismo.
30. Barras de cereales; galletas de cereales; pan multicereales; productos a base de cereales sin gluten; productos alimenticios elaborados principalmente a partir de cereales; alimentos para refrigerios a base de cereales sin gluten; refrigerios a base de cereales; snacks a base de cereales; bizcochos de chocolate y nueces [brownies].
</t>
  </si>
  <si>
    <t>CLEO</t>
  </si>
  <si>
    <t>LUIS CARLOS TORO GARCIA, CALLE 36 AN # 3 GN-68, CALI, VALLE DEL CAUCA, CO; MARCK GRIMBERG COHEN, CALI, CALI, VALLE DEL CAUCA, CO</t>
  </si>
  <si>
    <t xml:space="preserve">5. Complementos alimenticios para animales de uso veterinario; complementos nutricionales para uso veterinario.
31. Alimentos enlatados para gatos; bebidas para gatos; comida para gatos; galletas para gatos; gatos; golosinas comestibles para gatos; lechos higiénicos para gatos.
</t>
  </si>
  <si>
    <t>SEKITO</t>
  </si>
  <si>
    <t xml:space="preserve"> UPL CORPORATION LTD, 5TH FLOOR, NEWPORT BUILDING, LOUIS PASTEUR STREET, PORT LOUIS, MAURITIUS, PORT LOUIS, PORT LOUIS, MU</t>
  </si>
  <si>
    <t xml:space="preserve">5. Herbicidas, pesticidas, insecticidas, fungicidas, vermicidas, raticidas, herbicidas, preparados para matar malezas y destruir alimañas.
</t>
  </si>
  <si>
    <t>ICARUS EC</t>
  </si>
  <si>
    <t xml:space="preserve"> TORREAGRO S.A.S., Calle  77 # 20-100 TO 4 APTO 202 Tierra Linda del Vergel, IBAGUE, TOLIMA, CO</t>
  </si>
  <si>
    <t xml:space="preserve">5. Fungicidas para uso agrícola.
</t>
  </si>
  <si>
    <t>electroplex</t>
  </si>
  <si>
    <t xml:space="preserve"> NUTRABIOTICS HOLDING SAS, cc Bima av 13 # 232- 35 Lc 4005, BOGOTÁ, D.C., CO</t>
  </si>
  <si>
    <t xml:space="preserve">5. Productos farmacéuticos; productos farmacéuticos para uso humano.
</t>
  </si>
  <si>
    <t>Evaclean Bio Su aliado en la limpieza</t>
  </si>
  <si>
    <t xml:space="preserve"> EVACLEAN S.A.S., Calle 15 # 16 A 45 Barrio Valher , DOSQUEBRADAS, RISARALDA, CO</t>
  </si>
  <si>
    <t>3, 5, 21, 35, 39</t>
  </si>
  <si>
    <t xml:space="preserve">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21. Utensilios y recipientes para uso doméstico y culinario; peines y esponjas; cepillos; materiales para fabricar cepillos; material de limpieza; vidrio en bruto o semielaborado, excepto el vidrio de construcción; artículos de cristalería, porcelana y loza.
35. Publicidad; gestión de negocios comerciales; administración comercial; trabajos de oficina.
39. Transporte; embalaje y almacenamiento de mercancías; organización de viajes.
</t>
  </si>
  <si>
    <t>KERATIN BUILDER</t>
  </si>
  <si>
    <t xml:space="preserve"> LABORATORIOS AUROFARMA S.A.S., 	KILOMETRO 13 VIA OCCIDENTE FUNZA BODEGA ITALCOL, FACATATIVA, CUNDINAMARCA, CO</t>
  </si>
  <si>
    <t xml:space="preserve">5. Suplemento alimenticio de uso veterinario.
</t>
  </si>
  <si>
    <t>PREVOX BHX</t>
  </si>
  <si>
    <t>FitoCaps</t>
  </si>
  <si>
    <t>Santiago Losada Muñoz, Parcelacion el tambo casa11, LA CEJA, ANTIOQUIA 055010, CO</t>
  </si>
  <si>
    <t xml:space="preserve">5. Preparaciones herbicidas y plaguicidas; fungicidas, herbicidas.
</t>
  </si>
  <si>
    <t>RocuroDelt</t>
  </si>
  <si>
    <t xml:space="preserve"> LABORATORIOS DELTA S.A.S., Zona franca, vereda chachafruto bodega 150, RIONEGRO, ANTIOQUIA, CO</t>
  </si>
  <si>
    <t xml:space="preserve">5. PRODUCTOS FARMACÉUTICOS DE USO HUMANO.
</t>
  </si>
  <si>
    <t xml:space="preserve">IMIDOGAN </t>
  </si>
  <si>
    <t>Kyrovet Laboratories S.A.</t>
  </si>
  <si>
    <t xml:space="preserve"> VIRBAC COLOMBIA LTDA., CARRERA 54 NO. 76-20, BOGOTÁ, D.C., CO</t>
  </si>
  <si>
    <t xml:space="preserve">5. Medicamentos para uso veterinario.
</t>
  </si>
  <si>
    <t>AGENER CALMIUN</t>
  </si>
  <si>
    <t xml:space="preserve"> UNIÃO QUÍMICA FARMACÊUTICA NACIONAL S.A., Rua Coronel Luiz Tenório de Brito, 90 Embu-Guaçu, SP Brazil, EMBU-GUACU, SAO PAULO, BR</t>
  </si>
  <si>
    <t xml:space="preserve">5. Medicamentos, productos, preparaciones y sustancias farmacéuticas y veterinarias; Medicamentos, productos, preparaciones y sustancias farmacéuticas y veterinarias, especialmente para uso como anestésicos en animales.
</t>
  </si>
  <si>
    <t>AGENER PRIMER</t>
  </si>
  <si>
    <t xml:space="preserve">5. Medicamentos, productos, preparaciones y sustancias farmacéuticas y veterinarias.
</t>
  </si>
  <si>
    <t>AGENER MECTIMAX</t>
  </si>
  <si>
    <t>AGENER DORAX</t>
  </si>
  <si>
    <t>AGENER DORMIUM</t>
  </si>
  <si>
    <t>SIEGFRIED RHEIN S.A. DE C.V.</t>
  </si>
  <si>
    <t>DYPHLAMIN</t>
  </si>
  <si>
    <t xml:space="preserve">5. Medicamentos fitoterapéuticos para el consumo humano.
</t>
  </si>
  <si>
    <t>MAGX3</t>
  </si>
  <si>
    <t>IMFEN</t>
  </si>
  <si>
    <t>JUAN FELIPE  DAVILA OSPINA, Calle 145 #17-54, BOGOTA, CUNDINAMARCA 110121, CO</t>
  </si>
  <si>
    <t xml:space="preserve">5. Agentes de acción retardada, a saber, comprimidos que permiten la liberación controlada de ingredientes activos de una amplia gama de productos farmacéuticos; agentes de acción retardada, a saber, cápsulas que permiten la liberación controlada de ingredientes activos de una amplia gama de productos farmacéuticos; agentes de acción retardada, a saber, polvos que permiten la liberación controlada de ingredientes activos de una amplia gama de productos farmacéuticos; agentes de administración de fármacos en cuanto obleas comestibles para envolver productos farmacéuticos en polvo; agentes de administración de fármacos en forma de obleas comestibles que contienen productos farmacéuticos en polvo; agentes de administración de fármacos que contienen compuestos que facilitan la administración de una amplia gama de productos farmacéuticos; cápsulas de gelatina para productos farmacéuticos; cápsulas de gelatina vacías para productos farmacéuticos; cápsulas de polímeros dendriméricos para productos farmacéuticos; cápsulas vacías para productos farmacéuticos; parches cutáneos transdérmicos para el suministro de productos farmacéuticos; parches transdérmicos para la administración de productos farmacéuticos; productos farmacéuticos; productos farmacéuticos antibacterianos; productos farmacéuticos antidiabéticos; productos farmacéuticos cardiovasculares; productos farmacéuticos homeopáticos; productos farmacéuticos inyectables para el tratamiento de reacciones anafilácticas; productos farmacéuticos para el tratamiento de enfermedades infecciosas; productos farmacéuticos para el tratamiento de la enfermedad por radiación; productos farmacéuticos para el tratamiento de los síntomas de enfermedades de origen radiactivo; productos farmacéuticos para el tratamiento de trastornos de la erección; productos farmacéuticos para el tratamiento del cáncer; productos farmacéuticos para prevenir y tratar el cáncer; productos farmacéuticos para tratar enfermedades respiratorias; productos farmacéuticos para tratar enfermedades virales; productos farmacéuticos para tratar enfermedades óseas; productos farmacéuticos para tratar la disfunción eréctil; productos farmacéuticos para uso humano; productos farmacéuticos para uso ocular; productos farmacéuticos para uso oftalmológico; productos farmacéuticos que actúan sobre el sistema nervioso periférico; productos farmacéuticos que actúan sobre los órganos sensoriales; productos farmacéuticos, preparaciones para uso médico y veterinario.
</t>
  </si>
  <si>
    <t>ROMET</t>
  </si>
  <si>
    <t xml:space="preserve"> Pharmaq AS, Skogmo Industriomrade Industrivegen 50 7863 Overhalla, Noruega, OVERHALLA, TRØNDELAG, NO</t>
  </si>
  <si>
    <t xml:space="preserve">5. Preparación antibacteriana de uso veterinario.
</t>
  </si>
  <si>
    <t>BLUE ZONES</t>
  </si>
  <si>
    <t>BLUE ZONES, LLC</t>
  </si>
  <si>
    <t xml:space="preserve"> BLUE ZONES SAS, CIRCULAR 2A No66B-76 INT.102, MEDELLIN, ANTIOQUIA 050031, CO</t>
  </si>
  <si>
    <t xml:space="preserve">5. Preparaciones y suplementos nutricionales para la salud.
</t>
  </si>
  <si>
    <t>UNTÚ</t>
  </si>
  <si>
    <t>JOSÉ LUIS MALDONADO CORONADO, SIN ESTABLECER, CALI, VALLE DEL CAUCA, CO</t>
  </si>
  <si>
    <t xml:space="preserve">5. Jarabes para la tos; preparaciones para aliviar el dolor; pomadas mentoladas medicinales polivalentes.
</t>
  </si>
  <si>
    <t>PILARCLOTRIN</t>
  </si>
  <si>
    <t xml:space="preserve"> PILARQUIM CORP., 9th Fl No. 332 Chien Kuo S Rd Sec 2, Taipei Taiwan, TAIPEI, TAIWAN, CN</t>
  </si>
  <si>
    <t xml:space="preserve">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vermicidas, rodenticidas, preparados para matar las malas hierbas y destruir bichos.
</t>
  </si>
  <si>
    <t>YOGA GOLD</t>
  </si>
  <si>
    <t>J.G.B. S.A.</t>
  </si>
  <si>
    <t xml:space="preserve"> ANASAC COLOMBIA LTDA., Km 1.5 via funza siberia parque industrial san diego bodega c 14, FACATATIVA, CUNDINAMARCA, CO</t>
  </si>
  <si>
    <t xml:space="preserve">5. Productos farmacéuticos y veterinarios, preparaciones para uso médico y veterinario; productos higiénicos y sanitarios para uso médico; alimentos y sustancias dietéticas para uso médico o veterinario, alimentos para bebés; complementos alimenticios para animales; emplastos, material para apósitos; material para empastes e improntas dentales; desinfectantes; productos para eliminar animales dañinos; fungicidas, herbicidas.
</t>
  </si>
  <si>
    <t>WONDERFOODS</t>
  </si>
  <si>
    <t xml:space="preserve"> Société des Produits Nestlé S.A., AVENUE NESTLÉ 55, VEVEY, VAUD CH-1800, CH</t>
  </si>
  <si>
    <t>5, 29</t>
  </si>
  <si>
    <t xml:space="preserve">5. Alimentos y sustancias alimenticias para bebés; preparaciones alimenticias para bebés; harinas lacteadas para bebés.
29. Alimentos preparados hechos a base de verduras, papas, fruta, carne, aves de corral, pecado y/o productos alimenticios provenientes del mar; frutas y verduras, hortalizas y legumbres en conserva, congeladas, secas y cocidas; puré de frutas; leche y productos lácteos; preparaciones y bebidas hechas a base de leche; refrigerios hechos a base de frutas; puré de vegetales; refrigerios hechos a base de vegetales; puré de frutas y vegetales; refrigerios hechos a base de frutas y vegetales.
</t>
  </si>
  <si>
    <t>NUTRICIÓN PARA PEQUEÑAS BARRIGUITAS</t>
  </si>
  <si>
    <t xml:space="preserve">5. Alimentos y sustancias alimenticias para bebés; preparaciones alimenticias para bebés; harinas lacteadas para bebés; leche en polvo para bebés.
</t>
  </si>
  <si>
    <t>ALI-GAR FORTE</t>
  </si>
  <si>
    <t xml:space="preserve"> COMERCIALIZADORA JASER S.A.S, Calle  36 a sur 46 a 81 ofc 235, MEDELLIN, ANTIOQUIA, CO</t>
  </si>
  <si>
    <t xml:space="preserve">5. Pastillas para la garganta.
30. Pastillas no medicinales [productos de confitería]; productos de confitería; preparaciones aromáticas para uso alimenticio.
</t>
  </si>
  <si>
    <t>DIFENYL</t>
  </si>
  <si>
    <t xml:space="preserve"> LABORATORIOS REMO S.A.S, CARRERA 34 NO. 17 B - 13, BOGOTÁ, D.C., CO</t>
  </si>
  <si>
    <t>OVUSYN</t>
  </si>
  <si>
    <t xml:space="preserve"> ZOETIS SERVICES LLC, 10 Sylvan Way, Parsippany,  NJ 07054, PARSIPPANY, NEW JERSEY 07054, US</t>
  </si>
  <si>
    <t xml:space="preserve">5. Productos veterinarios.
</t>
  </si>
  <si>
    <t>MANITOBA</t>
  </si>
  <si>
    <t xml:space="preserve">5. Fungicidas, herbicidas; herbicidas; herbicidas para uso agrícola; preparaciones herbicidas y plaguicidas; fungicidas; fungicidas para uso agrícola; insecticidas; insecticidas para uso agrícola; preparaciones insecticidas; preparaciones para eliminar plantas nocivas; preparaciones para el control de animales dañinos; preparaciones para el control de plagas; preparaciones para la destrucción de animales dañinos; preparaciones para la destrucción de plagas; biopesticidas para la agricultura; pesticidas para la agricultura.
</t>
  </si>
  <si>
    <t>YAFIT IMAGE</t>
  </si>
  <si>
    <t xml:space="preserve"> YAFIT IMAGE S.A.S, Carrera 69P #64H 06, BOGOTÁ, D.C., CO</t>
  </si>
  <si>
    <t>2, 3, 5, 9, 18, 21, 35, 41, 44</t>
  </si>
  <si>
    <t>ENZYMEX</t>
  </si>
  <si>
    <t>BIOCHEM FARMACEUTICA DE COLOMBIA S.A</t>
  </si>
  <si>
    <t xml:space="preserve"> FBLAB S.A DE C.V.,  INDUSTRIA MODERNA 2001 INT 86, EUROBUSINESS PARK, EL MARQUÉS, QUERETARO, MX</t>
  </si>
  <si>
    <t xml:space="preserve">5. DETERGENTE DESINFECTANTE ENZIMATICO.
</t>
  </si>
  <si>
    <t>exoten</t>
  </si>
  <si>
    <t xml:space="preserve"> MULTIPLICADORES S.A.S.,  Carrera 79 46 36, MEDELLIN, ANTIOQUIA, CO</t>
  </si>
  <si>
    <t xml:space="preserve">3. Cosméticos no medicinales, lociones capilares no medicinales.
5. Productos farmacéuticos, preparaciones para uso médico.
</t>
  </si>
  <si>
    <t>CREA STACK</t>
  </si>
  <si>
    <t>RICHARD SEGUNDO CASTIBLANCO GOMEZ, CLL. 39 NO. 8A-46 BARRIO EL TRONCAL, CALI, VALLE DEL CAUCA, VALLE DEL CAUCA, CO</t>
  </si>
  <si>
    <t xml:space="preserve">5. Suplementos nutricionales; suplementos alimenticios minerales; suplementos dietéticos con efecto cosmético; suplementos vitamínicos líquidos; agentes de administración en forma de recubrimientos de comprimidos que facilitan la administración de suplementos nutricionales.
</t>
  </si>
  <si>
    <t>ONLY CARS</t>
  </si>
  <si>
    <t>SOFIA CANO MENDEZ, CR 43A NO 72 SUR 184 IN 903, SABANETA, ANTIOQUIA, CO</t>
  </si>
  <si>
    <t xml:space="preserve">5. Ambientadores [desodorantes] para coches; ambientadores para automóviles; espráis ambientadores.
35. Agencias de importación y exportación en el ámbito de los accesorios para vehículos; servicios de agencia de ventas de piezas y accesorios de automóviles; servicios de venta mayorista en relación con accesorios para automóviles; servicios de venta minorista en relación con accesorios para automóviles; servicios de venta minorista prestados por tiendas de piezas y accesorios de automóviles.
</t>
  </si>
  <si>
    <t>ISO PRO</t>
  </si>
  <si>
    <t>HEALTHY AMERICA COLOMBIA S.A.S.</t>
  </si>
  <si>
    <t xml:space="preserve"> NATURAL´S HELIOS 4 S.A.S., CRA 8 No 17 21, BOGOTÁ, D.C., CO</t>
  </si>
  <si>
    <t xml:space="preserve">5. Suplementos alimenticios en polvo a base de proteinas.
</t>
  </si>
  <si>
    <t>ZIXVIROX</t>
  </si>
  <si>
    <t xml:space="preserve"> BIOCIDAS BIODEGRADABLES ZIX, S.L., Pasaje Baleares, 4 - Oficina 1, HUESCA, HUESCA 22004, ES</t>
  </si>
  <si>
    <t xml:space="preserve">5. Esporicidas; fungicidas; desinfectantes; pesticidas; biocidas; productos para purificar el aire; preparaciones veterinarias; productos de lavado insecticidas para uso veterinario; herbicidas; preparaciones higiénicas para uso veterinario; desinfectantes para uso veterinario; preparaciones antiinfecciosas para uso veterinario.
</t>
  </si>
  <si>
    <t>Forma de una caja con unos colores caracteristicos, ubicados en espacios especificos dentro del signo distintivo y la incorporacion de trazos uniformes al centro en colores determinados que dan la apariencia de ondas separadas por una delgada linea que permite visualizar el color presente en la mayoria del signo.</t>
  </si>
  <si>
    <t>3D</t>
  </si>
  <si>
    <t xml:space="preserve"> KYROVET LABORATORIES S.A., Carrera 65B No 17 59, BOGOTÁ, D.C., CO</t>
  </si>
  <si>
    <t xml:space="preserve">5. Medicamentos de uso veterinario.
</t>
  </si>
  <si>
    <t>AMINOMIX PET</t>
  </si>
  <si>
    <t xml:space="preserve"> VETNIL INDÚSTRIA E COMÉRCIO DE PRODUTOS VETERINÁRIOS LTDA, Avenida José Nicolau Stabile, 53, Residencial Burch, LOUVEIRA, SAO PAULO 13290-000, BR</t>
  </si>
  <si>
    <t xml:space="preserve">5. Preparaciones bacteriológicas para uso médico y veterinario; preparaciones bacterianas para uso médico y veterinario; repelentes para perros; vacunas; productos para lavar animales [insecticidas]; parasiticidas; preparaciones veterinarias; medicamentos para uso veterinario; preparaciones biológicas para uso veterinario; enzimas para uso veterinario; preparaciones enzimáticas para uso veterinario; preparaciones de oligoelementos para el consumo humano y animal; aminoácidos para uso veterinario; suplementos alimenticios para animales; suplementos de proteínas para animales; alimentos medicinales para animales; preparaciones de diagnóstico para uso veterinario; preparaciones de microorganismos para uso médico o veterinario; champús insecticidas para animales.
</t>
  </si>
  <si>
    <t>BIOHOOF</t>
  </si>
  <si>
    <t>ELETROLITICO PET</t>
  </si>
  <si>
    <t>SUEROS Y BEBIDAS REHIDRATANTES, S.A. DE C.V.</t>
  </si>
  <si>
    <t>ENTEREX</t>
  </si>
  <si>
    <t>VICTUS INC</t>
  </si>
  <si>
    <t>GLICOPAN ENERGY</t>
  </si>
  <si>
    <t>GLICOPAN PET</t>
  </si>
  <si>
    <t>NUTRALIFE</t>
  </si>
  <si>
    <t>NUTRA NATURAL GROUP LLC.</t>
  </si>
  <si>
    <t>NUTRALIFE INTENSIV</t>
  </si>
  <si>
    <t>PULMONIL</t>
  </si>
  <si>
    <t>FARMABASE SAÚDE ANIMAL LTDA.</t>
  </si>
  <si>
    <t>QUANTICA CBD</t>
  </si>
  <si>
    <t>viviana castillo cardozo, carrera 55 149 20, BOGOTÁ, D.C., CO</t>
  </si>
  <si>
    <t>AMINOMIX FORTE</t>
  </si>
  <si>
    <t xml:space="preserve">PURIX ALCOHOL Antiséptico </t>
  </si>
  <si>
    <t xml:space="preserve"> FADEPLAST S.A.S, CALLE 30 A NO. 11 B 71, CALI, VALLE DEL CAUCA, VALLE DEL CAUCA, CO</t>
  </si>
  <si>
    <t xml:space="preserve">5. Alcohol de fricción; alcohol isopropílico [isopropanol] para uso médico; alcohol para uso farmacéutico; alcohol para uso tópico; alcoholes medicinales; geles desinfectantes antibacterianos a base de alcohol para la piel.
</t>
  </si>
  <si>
    <t>AINTECH</t>
  </si>
  <si>
    <t>INVERSIONES FARIS S.A.C.</t>
  </si>
  <si>
    <t xml:space="preserve"> NUTRATECH SAS, Cr 17 No 4-21, GIRON, SANTANDER, CO</t>
  </si>
  <si>
    <t xml:space="preserve">5. Suplementos a base de minerales y extractos vegetales para alimentos concentrados y/o agua de bebida de animales.
</t>
  </si>
  <si>
    <t>XETRANE</t>
  </si>
  <si>
    <t>NOVAMED S.A.S.</t>
  </si>
  <si>
    <t xml:space="preserve">5. Agentes antineoplásicos e inmunomoduladores, con expresa exclusión de los productos destinados para tratamientos del sistema nervioso central.
</t>
  </si>
  <si>
    <t>PRONTECH</t>
  </si>
  <si>
    <t xml:space="preserve"> PROMOTORAS UNIDAS LTDA, CARRERA 8A N° 99-51, OFC 301, TORRE A, BOGOTÁ, D.C., CO</t>
  </si>
  <si>
    <t xml:space="preserve">5. Desinfectantes; desinfectantes domésticos; desinfectantes para equipos e instrumentos médicos; desinfectantes para equipos e instrumentos médicos y odontológicos; desinfectantes para inodoros químicos; desinfectantes para instrumental médico; desinfectantes para piscinas; desinfectantes para uso doméstico; desinfectantes para uso médico; desinfectantes para uso sanitario; desinfectantes para uso veterinario; bactericidas; fungicidas para uso agrícola; fungicidas para uso doméstico; fungicidas, herbicidas; fungicidas para uso hortícola; fungicidas; medicamentos para uso veterinario; preparaciones antibacterianas para uso veterinario.
</t>
  </si>
  <si>
    <t>PIROFLOX PLUS</t>
  </si>
  <si>
    <t xml:space="preserve"> PISA AGROPECUARIA, S.A. DE C.V., AV. ESPAÑA 1840, COL MODERNA, C.P. 44190, GUADALAJARA, JALISCO, MX</t>
  </si>
  <si>
    <t xml:space="preserve">5. PRODUCTOS VETERINARIOS.
</t>
  </si>
  <si>
    <t>ASTROBIN</t>
  </si>
  <si>
    <t xml:space="preserve"> DUWEST COLOMBIA S.A.S., Autopista Medellin Km. 2 Parque Empresarial Oikos La Florida Bodegas 5, 6 y 7, COTA, CUNDINAMARCA, CO</t>
  </si>
  <si>
    <t xml:space="preserve">5. Fungicidas; fungicidas biológicos; fungicidas para uso agrícola; fungicidas para uso doméstico; fungicidas para uso hortícola; fungicidas, herbicidas; calomelano [fungicida].
</t>
  </si>
  <si>
    <t>JAVALINA</t>
  </si>
  <si>
    <t xml:space="preserve">5. Fungicidas, herbicidas; herbicidas; herbicidas acuáticos; herbicidas biológicos; herbicidas para estanques; herbicidas para uso agrícola; herbicidas para uso doméstico; preparaciones herbicidas y pesticidas; preparaciones herbicidas y plaguicidas.
</t>
  </si>
  <si>
    <t>BURN SMART</t>
  </si>
  <si>
    <t>RICHARD SEGUNDO CASTIBLANCO GOMEZ</t>
  </si>
  <si>
    <t>ENERGY BEVERAGES LLC.</t>
  </si>
  <si>
    <t>Santiago Chaparro Arias, calle 23 N # 24 00, ARMENIA, QUINDIO, CO</t>
  </si>
  <si>
    <t xml:space="preserve">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de uso veterinario; suplementos alimenticios para humanos; suplementos alimenticios para personas;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oligoelementos para productos alimenticios de consumo humano; suplementos de proteína de suero de leche;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ácido fólico; suplementos dietéticos en forma de polvo; suplementos dietéticos en forma líquida; suplementos dietéticos en polvo a base de esporas de ganoderma lucidum;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productos alimenticios de consumo humano; suplementos y preparaciones dietéticas; suplementos y preparaciones nutricionales; vitaminas, minerales y antioxidantes en cuanto suplementos nutricionales y dietéticos; aguas enriquecidas con vitaminas para uso médico; bebidas enriquecidas con vitaminas para uso médico; bebidas nutricionales enriquecidas con vitaminas para uso dietético; complementos alimenticios de vitaminas y minerales; complementos de vitaminas para productos alimenticios de consumo humano; complementos dietéticos de vitaminas; comprimidos de vitaminas; estimulantes [preparaciones farmacéuticas] a base de vitaminas; líquidos medicamentosos para cigarrillos electrónicos [e-liquid] que contienen vitaminas; multivitaminas; pan enriquecido con vitaminas para uso terapéutico; parches transdérmicos para el tratamiento de la deficiencia de vitaminas; parches transdérmicos que facilitan el suministro de vitaminas; pastillas de vitaminas; pastillas efervescentes de vitaminas; preparaciones de vitaminas para el consumo humano; preparaciones de vitaminas para la alimentación humana; preparaciones de vitaminas y minerales; preparaciones de vitaminas*; soluciones líquidas medicinales que contienen vitaminas, para los cigarrillos electrónicos; sustancias dietéticas de vitaminas, minerales, aminoácidos y oligoelementos; sustancias dietéticas de vitaminas, minerales, aminoácidos y oligoelementos, ya sean por separado o combinadas; vitaminas; vitaminas de consistencia gomosa; vitaminas para adultos; de compañía; vitaminas para bebés; vitaminas para embarazadas; vitaminas para niños; vitaminas prenatales; vitaminas, minerales y antioxidantes en cuanto complementos nutricionales y dietéticos.
</t>
  </si>
  <si>
    <t>QUE HELADO PETS</t>
  </si>
  <si>
    <t>MARIA JOSE RAMIREZ OSPINA, barrio la union manzana 18 casa 12, ARMENIA, QUINDIO 630001, CO</t>
  </si>
  <si>
    <t xml:space="preserve">5. Suplementos nutricionales no medicinales para alimentos para animales.
</t>
  </si>
  <si>
    <t>Xdrovit</t>
  </si>
  <si>
    <t>DANIELA  FORERO SEPULVEDA, Calle 66 No. 11-50, BOGOTÁ, D.C., CO</t>
  </si>
  <si>
    <t xml:space="preserve">5. Suplementos nutricionales en todas las presentaciones; suplementos alimenticios minerales; suplementos dietéticos con efecto cosmético; suplementos vitamínicos líquidos; agentes de administración en forma de recubrimientos de comprimidos que facilitan la administración de suplementos nutricionales, suplementos alimenticios a base de proteínas, productos farmacéuticos para uso humano.
</t>
  </si>
  <si>
    <t>Envpharma</t>
  </si>
  <si>
    <t xml:space="preserve"> ENVIRONMETH PHARMACEUTIC SAS, CR 68 D NO. 25 B 86 OF 425, BOGOTÁ, D.C., CO</t>
  </si>
  <si>
    <t xml:space="preserve">5. Cánnabis médico; cánnabis para uso médico.
</t>
  </si>
  <si>
    <t>CLICK &amp; GO</t>
  </si>
  <si>
    <t xml:space="preserve"> NOVARTIS AG, 4002 BASILEA, SUIZA, BASEL, BASEL, CH</t>
  </si>
  <si>
    <t>5, 10, 44</t>
  </si>
  <si>
    <t xml:space="preserve">5. Preparaciones farmacéuticas en el campo de la neurología.
10. Autoinyectores para la administración de preparaciones farmacéuticas en el campo de la neurología.
44. Suministro de información sanitaria a los pacientes y a los profesionales de la salud en el ámbito de la neurología.
</t>
  </si>
  <si>
    <t>ALEGRA</t>
  </si>
  <si>
    <t>Aventisub LLC</t>
  </si>
  <si>
    <t>KATHERIN  CABALLERO PEÑA, calle 23 24-58, TULUA, VALLE DEL CAUCA, CO</t>
  </si>
  <si>
    <t>ROCUREX</t>
  </si>
  <si>
    <t>VITALIS S.A. C.I.</t>
  </si>
  <si>
    <t xml:space="preserve"> PROCAPS S.A., CLL 80 N° 78 B - 201, BARRANQUILLA, ATLÁNTICO, CO</t>
  </si>
  <si>
    <t xml:space="preserve">5. Productos farmacéuticos; preparaciones veterinarias; medicamentos para uso médico; medicamentos para uso veterinario; algodón para uso médico; desinfectantes para uso higiénico; productos para esterilizar; pañales para bebés; tampones para la menstruación; paños menstruales; alimentos dietéticos para uso médico; alimentos para bebés; complementos nutricionales; bebidas dietéticas para uso médico; emplastos para uso médico; botiquines de primeros auxilios; artículos para apósitos; materiales para empastes dentales; materiales para improntas dentales; desinfectantes; productos para eliminar animales dañinos; insecticidas; fungicidas; herbicidas.
</t>
  </si>
  <si>
    <t>DIFLUFAR</t>
  </si>
  <si>
    <t xml:space="preserve">5. Marca para distinguir producto farmacéutico para el reflujo gastroesofagico, hiperacidez gástrica, flatulencias, indigestión, dolor epigastrico, producto comprendido en la clase 5.
</t>
  </si>
  <si>
    <t>D' Pelos Guau</t>
  </si>
  <si>
    <t>Carlos Odilio Nieuwenburg, Calle 91 #9-16, BOGOTÁ, D.C. 110221, CO</t>
  </si>
  <si>
    <t xml:space="preserve">5. Preparaciones para uso médico y veterinario.
</t>
  </si>
  <si>
    <t>D´Pelos Miau</t>
  </si>
  <si>
    <t xml:space="preserve">ELEMENTAL PERFORMANCE </t>
  </si>
  <si>
    <t>LOVIENT
CONSULTADORIA E SERVICOS LDA.</t>
  </si>
  <si>
    <t xml:space="preserve"> Administración de Insumos para la Salud, S.A. de C.V., Avenida España Número 1788 Interior 4, Colonia Moderna, Z.C. 44190, en Guadalajara, Jalisco, México, GUADALAJARA, JALISCO, MX</t>
  </si>
  <si>
    <t>5, 32</t>
  </si>
  <si>
    <t xml:space="preserve">5. Productos farmacéuticos, preparaciones para uso médico; productos higiénicos y sanitarios para uso médico; alimentos y sustancias dietéticas para uso médico, alimentos para bebés; suplementos alimenticios para personas; suero oral.
32. Bebidas sin alcohol; aguas minerales; bebidas a base de frutas y zumos de frutas; siropes y otras preparaciones sin alcohol para elaborar bebidas; bebidas energéticas, las bebidas isotónicas, las bebidas enriquecidas con proteínas para deportistas.
</t>
  </si>
  <si>
    <t xml:space="preserve">ELEMENTAL WELLNESS </t>
  </si>
  <si>
    <t>ROCUREX PROCAPS PROCAPS</t>
  </si>
  <si>
    <t>ATUREN</t>
  </si>
  <si>
    <t xml:space="preserve"> GADOR S.A., Calle Darwin 429, BUENOS AIRES, DISTRITO FEDERAL / BUENOS AIRES, AR</t>
  </si>
  <si>
    <t xml:space="preserve">5. Productos farmacéuticos para uso humano; preparaciones para uso médico en; humanos.
</t>
  </si>
  <si>
    <t>BELLE VIT C</t>
  </si>
  <si>
    <t xml:space="preserve"> BELLETHIQUE CORPORATION LTDA, CALLE 79 NO. 69K - 37, BOGOTÁ, D.C., CO</t>
  </si>
  <si>
    <t xml:space="preserve">5. VITAMINAS.
</t>
  </si>
  <si>
    <t>ARKUS</t>
  </si>
  <si>
    <t xml:space="preserve">5. Productos farmacéuticos para uso humano; preparaciones para uso médico en humanos.
</t>
  </si>
  <si>
    <t>TANER</t>
  </si>
  <si>
    <t>ALPINA BABY NEURO PLUS 1</t>
  </si>
  <si>
    <t xml:space="preserve"> ALPINA PRODUCTOS ALIMENTICIOS S.A.S. - BIC., KM 3 VÍA BRICEÑO, SOPO, CUNDINAMARCA, CO</t>
  </si>
  <si>
    <t xml:space="preserve">5. Fórmula de leche para bebé.
29. Leche, productos lácteos y leche en polvo.
</t>
  </si>
  <si>
    <t>VIFORTS</t>
  </si>
  <si>
    <t>VIFOR (INTERNATIONAL)
AG (VIFOR (INTERNATIONAL) LTD.) (VIFOR (INTERNATIONAL) INC.)</t>
  </si>
  <si>
    <t>juan david lopez gutierrez, call 2 no.93 d 30, BOGOTÁ, D.C., CO</t>
  </si>
  <si>
    <t xml:space="preserve">3. Jabones cosméticos; jabones en forma líquida; jabones líquidos; jabones líquidos no medicinales; jabones no medicados para las manos; jabones no medicinales; jabones para las manos; jabones para uso personal; jabones perfumados; jabones*; aceite de menta [perfumería]; aceites de perfumería; aceites para perfumes y fragancias; bases para perfumes de flores; colonias, perfumes y productos cosméticos; desodorantes corporales [perfumería]; espráis utilizados como desodorantes y perfumes corporales; extractos de flores [productos de perfumería]; fragancias y productos de perfumería; perfumería y fragancias; perfumes líquidos; perfumes y aguas de colonia; perfumes y aguas de tocador; perfumes y colonias; perfumes, aguas de colonia y productos para después del afeitado; preparaciones ambientadoras (perfumes); productos de perfumería; productos de perfumería naturales; productos de perfumería, aceites esenciales; productos de perfumería, aceites esenciales, cosméticos, lociones capilares; productos de perfumería, inciensos y fragancias; bases de maquillaje; bases de maquillaje cremosas; bases de maquillaje en crema; bases de maquillaje líquidas; bases de maquillaje para la piel; kits de cosméticos que comprenden principalmente máscara de pestañas, lápices de labios, lápices de cejas, maquillaje, fundación de maquillaje y brillos de labios; kits de maquillaje; kits de maquillaje que consisten principalmente en bases de maquillaje, rímeles, coloretes, brillos de labios y lápices de labios [sin incluir pinceles ni esponjas]; maquillaje; maquillaje [cosméticos]; maquillaje para el cuerpo; maquillaje para el rostro; maquillaje para el rostro y el cuerpo; maquillaje para la cara; maquillaje para los ojos; maquillajes de base; maquillajes de base en crema; maquillajes faciales; preparaciones de maquillaje para el rostro y el cuerpo; productos cosméticos y de maquillaje; sprays para fijar el maquillaje; aceites cosméticos para la piel; aceites para el bronceado de la piel; acondicionadores para la piel; bronceadores para la piel; cosméticos funcionales en cuanto preparaciones para blanquear la piel; cremas no medicadas para suavizar la piel; cremas no medicinales para aclarar la piel; cremas para aclarar la piel; cremas para el cuidado de la piel que no sean de uso médico; cremas para el cuidado de la piel que no sean para uso médico; cremas para el cuidado de la piel, no medicinales; champús capilares; cremas capilares; cremas de protección capilar, no medicinales; decolorantes capilares; fijadores capilares; geles capilares; lociones capilares cosméticas; lociones capilares*; mascarillas para el cuidado capilar; preparaciones capilares a base de aceite de coco virgen ecológico y de aceite de coco virgen; preparaciones capilares de protección solar; preparaciones de tintes capilares; preparaciones para tratamientos capilares; productos de perfumería, aceites esenciales, cosméticos no medicinales, lociones capilares no medicinales; tratamientos para permanentes capilares.
5. Lociones capilares medicinales; preparaciones medicinales para el cuidado capilar; aceites para el cuidado de la piel [medicinales]; aceites para el cuidado de la piel, medicinales; cremas medicamentosas para hidratar la piel; cremas medicamentosas para la hidratación de la piel; cremas medicamentosas para la piel; cremas medicinales para el cuidado de la piel; cremas medicinales para la protección de la piel; cremas para el cuidado de la piel, medicinales; geles desinfectantes antibacterianos a base de alcohol para la piel; jabones antibacterianos para la piel; lociones farmacéuticas para la piel; lociones y cremas medicamentosas para el cuerpo, piel, rostro y manos; preparaciones farmacológicas para cuidar la piel; preparaciones farmacológicas para el cuidado de la piel; preparaciones farmacéuticas para cuidar la piel; preparaciones medicinales para el cuidado de la piel; preparaciones medicinales para el cuidado de la piel en forma de geles; preparaciones y sustancias farmacéuticas para tratar la piel y los tejidos dañados; productos para el cuidado de la piel, medicinales; serum calmante para la piel [medicinales]; serum calmante para la piel, medicinales; serum de alivio para la piel [medicinales]; serum de alivio para la piel, medicinales; tónicos medicinales para la piel.
</t>
  </si>
  <si>
    <t>SANTTOR</t>
  </si>
  <si>
    <t>KELLY STEPHANYA  FLOREZ SANTAMARIA, calle 46 # 48b - 46, CALI, VALLE DEL CAUCA 760024, CO</t>
  </si>
  <si>
    <t xml:space="preserve">5. Bebidas nutricionales en cuanto complementos alimenticios; bebidas nutricionales en cuanto suplementos alimenticios; bebidas nutricionales enriquecidas con vitaminas para uso dietético; suplementos vitamínicos; preparaciones y suplementos nutricionales para la salud; preparaciones y suplementos para la salud; suplementos alimenticios; suplementos alimenticios dietéticos; suplementos alimenticios minerales; complementos dietéticos; complementos nutricionales, complementos alimenticios a base de colágeno , suplementos alimenticios medicinales a base de colágeno.
</t>
  </si>
  <si>
    <t>BotaniTOX</t>
  </si>
  <si>
    <t xml:space="preserve"> BOTANICA LAB SAS, CALLE 64 C 113 33 39, , BOGOTÁ, D.C., CO</t>
  </si>
  <si>
    <t xml:space="preserve">5. Jarabes antitusígenos; jarabes contra la tos; jarabes en cuanto medicamentos; jarabes para la tos; jarabes para uso farmacéutico; jarabes para uso veterinario.
30. Azúcar, miel, jarabe de melaza; jarabe de arce; jarabe de arce deshidratado en forma granular; jarabe de maíz para uso culinario; jarabe de melaza; jarabe de melaza para uso culinario; jarabe de mesa; jarabe de yacón; jarabe de yacón [edulcorante natural]; jarabe pegajoso de almidón; jarabe viscoso a base de almidón; jarabes de arce; jarabes de arce orgánicos; jarabes de arce para coberturas; jarabes de arce sin azúcar; jarabes para coberturas; jarabes y jarabe de melazas; siropes y jarabe de melazas.
</t>
  </si>
  <si>
    <t>D´Pelos Guau</t>
  </si>
  <si>
    <t>GUMMAS FIT</t>
  </si>
  <si>
    <t>SEBASTIAN RINCON GIRALDO, CRA 44 #67 SUR 62, SABANETA, ANTIOQUIA 055450, CO</t>
  </si>
  <si>
    <t xml:space="preserve">5. Gomas de mascar con sabor a menta para uso médico; gomas de mascar de nicotina para dejar de fumar; gomas de mascar sin azúcar para uso médico; gomas para uso médico; complementos de zinc en pastillas; medicamentos en forma de pastillas; pastillas antioxidantes; pastillas bronceadoras; pastillas contra la tos; pastillas de miel de hierbas para la garganta; pastillas de vitaminas; pastillas para adelgazar; pastillas supresoras del apetito.
</t>
  </si>
  <si>
    <t>Neo-TC</t>
  </si>
  <si>
    <t xml:space="preserve"> SAN Group Biotech Brasil Ltda.,  Estrada Municipal CAM 465, Nº  1701, Campo Grande, CAMPINAS, SAO PAULO, BR</t>
  </si>
  <si>
    <t xml:space="preserve">5. Productos farmacéuticos y medicamentos veterinarios.
</t>
  </si>
  <si>
    <t>INTIMA-V</t>
  </si>
  <si>
    <t>Catalunya Trust
S.A.S.</t>
  </si>
  <si>
    <t xml:space="preserve"> DR. AUGUST WOLFF GMBH &amp; CO. KG ARZNEIMITTEL, SUDBRACKSTRASSE 56, 33611 BIELEFELD, ALEMANIA, BIELEFELD, NORDRHEIN-WESTFALEN, DE</t>
  </si>
  <si>
    <t>3, 5, 10</t>
  </si>
  <si>
    <t xml:space="preserve">3. Artículos de tocador; preparaciones para la limpieza y el cuidado del cuerpo; jabones y geles; preparaciones para el baño; humectantes vaginales no medicados; humectantes vaginales no medicados en forma de crema o crema que contiene pesario.
5. Preparaciones médicas; suplementos dietéticos y preparaciones dietéticas; productos farmacéuticos y remedios naturales; humectantes vaginales; humectantes vaginales en forma de crema o cremas que contienen pesario; preparaciones y artículos sanitarios; desinfectantes y antisépticos; jabones y detergentes medicinales y desinfectantes; preparaciones de baño para uso médico.
10. Copas menstruales.
</t>
  </si>
  <si>
    <t>Nanavit</t>
  </si>
  <si>
    <t>DIANA CAROLINA LUENGAS MONTANA, cra 20 sur #103-124 Torre A Apto 405, IBAGUE, TOLIMA, CO</t>
  </si>
  <si>
    <t>5, 32, 35</t>
  </si>
  <si>
    <t xml:space="preserve">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32. Cervezas; aguas minerales y otras bebidas sin alcohol; bebidas a base de frutas y zumos de frutas; siropes y otras preparaciones para elaborar bebidas.
35. Publicidad; gestión de negocios comerciales; administración comercial; trabajos de oficina; comercialización; comercialización de productos; comercialización de productos para terceros; comercialización por internet; merchandising [comercialización]; servicios de comercialización; servicios de merchandising [comercialización].
</t>
  </si>
  <si>
    <t xml:space="preserve">DERMA NATURAL </t>
  </si>
  <si>
    <t>LABORATORIOS DERMANAT SAS
S.A.S.</t>
  </si>
  <si>
    <t xml:space="preserve"> GRUPO FARINTER IP SRL, BARRIO LA GRANJA EDIFICIO FARINTER , TEGUCIGALPA, DISTRITO CENTRAL, HN</t>
  </si>
  <si>
    <t xml:space="preserve">3. Productos cosméticos para el cuidado de la piel; productos cosméticos para la piel; productos cosméticos y de maquillaje.
5. Preparaciones farmacéuticas; preparaciones parafarmacéuticas para uso dermatológico; lociones farmacéuticas para la piel; preparaciones farmacéuticas para cuidar la piel; preparaciones farmacéuticas para el cuidado de la salud; cremas medicamentosas para hidratar la piel; cremas medicamentosas para la hidratación de la piel; cremas medicamentosas para la piel; cremas medicinales para la piel; cremas para el cuidado de la piel, medicinales; jabones antibacterianos para la piel; lociones y cremas medicamentosas para el cuerpo, piel, cara y manos; lociones y cremas medicamentosas para el cuerpo, piel, rostro y manos; lociones y cremas medicinales para el cuerpo, piel, cara y manos; preparaciones de uso médico para limpiar la piel; preparaciones farmacológicas para cuidar la piel.
</t>
  </si>
  <si>
    <t xml:space="preserve">HEALTHIBETIC </t>
  </si>
  <si>
    <t>GHILA TRANSLATEUR KAHN, calle 64 # 4a -18, BOGOTÁ, D.C., CO</t>
  </si>
  <si>
    <t xml:space="preserve">5. Productos farmacéuticos, preparaciones para uso médico y veterinario; preparaciones para uso médico y veterinario; agentes de acción retardada, a saber, comprimidos que permiten la liberación controlada de ingredientes activos de una amplia gama de productos farmacéuticos; agentes de acción retardada, a saber, cápsulas que permiten la liberación controlada de ingredientes activos de una amplia gama de productos farmacéuticos; agentes de acción retardada, a saber, polvos que permiten la liberación controlada de ingredientes activos de una amplia gama de productos farmacéuticos; agentes de administración de fármacos en cuanto obleas comestibles para envolver productos farmacéuticos en polvo; agentes de administración de fármacos en forma de obleas comestibles que contienen productos farmacéuticos en polvo; agentes de administración de fármacos que contienen compuestos que facilitan la administración de una amplia gama de productos farmacéuticos; cápsulas de gelatina para productos farmacéuticos; cápsulas de gelatina vacías para productos farmacéuticos; cápsulas de polímeros dendriméricos para productos farmacéuticos; cápsulas vacías para productos farmacéuticos; parches cutáneos transdérmicos para el suministro de productos farmacéuticos; parches transdérmicos para la administración de productos farmacéuticos; productos farmacéuticos; productos farmacéuticos antibacterianos; productos farmacéuticos antidiabéticos; productos farmacéuticos homeopáticos; productos farmacéuticos para uso humano.
</t>
  </si>
  <si>
    <t>VetCBD</t>
  </si>
  <si>
    <t xml:space="preserve"> ALONDRA BOTANICALS HOLDINGS, LLC, 1968 S Coast Hwy # 3713, LAGUNA BEACH, CALIFORNIA 92651, US</t>
  </si>
  <si>
    <t xml:space="preserve">5. Complementos alimenticios para animales de uso veterinario; medicamentos para uso veterinario; remedios para uso veterinario; suplementos alimenticios para uso veterinario.
</t>
  </si>
  <si>
    <t>REENOVAR WELL BEING Alimentos Terapeuticos</t>
  </si>
  <si>
    <t>Mireya Arias Orjuela, CALLE4 SUR #35 - 95 Multifamiliares los centauros , VILLAVICENCIO, META 0000004, CO</t>
  </si>
  <si>
    <t>KARDIO</t>
  </si>
  <si>
    <t xml:space="preserve"> OURO FINO SAUDE ANIMAL LTDA, RODOVIA ANHANGUERA SSP 330, KM. 298, DISTRITO INDUSTRIAL CRAVINHOS - SP, DISTRITO INDUSTRIAL CRAVINHOS, SAO PAULO, BR</t>
  </si>
  <si>
    <t xml:space="preserve">5. Medicamento para uso veterinario.
</t>
  </si>
  <si>
    <t>DeKados</t>
  </si>
  <si>
    <t>CANNAVIT</t>
  </si>
  <si>
    <t xml:space="preserve"> SOCIEDAD DE COMERCIALIZACION INTERNACIONAL COLLECTIONS S.A.S., CL 52 # 1 N - 100 PI 2, CALI, VALLE DEL CAUCA, CO</t>
  </si>
  <si>
    <t xml:space="preserve">5. Aceites medicinales para bebés; aceites medicinales; aerosoles medicinales para la garganta; aerosoles medicinales para uso bucal; aerosoles medicinales; aerosoles y cremas de hierbas medicinales de uso externo; agua de mar para baños medicinales; alcoholes medicinales; bálsamos analgésicos medicinales polivalentes; bálsamos medicinales para los labios; baños medicinales para uso terapéutico; baños medicinales; bebidas medicinales; caramelos medicinales; compresas medicinales; cremas labiales medicinales; cremas medicinales antibióticas de amplio espectro; cremas medicinales antibióticas polivalentes; cremas medicinales; emplastos medicinales; enjuagues bucales medicinales; espráis y cremas de hierbas medicinales de uso externo; extractos herbarios para uso medicinal; extractos de hierbas medicinales para uso médico; extractos de hierbas medicinales; extractos de hierbas para uso medicinal; extractos de plantas y hierbas para uso medicinal; extractos vegetales y herbarios para uso medicinal; geles medicinales aplicables con cepillo para el cuidado bucal; geles medicinales para el cuidado bucal; ginseng para uso medicinal; goma de mascar medicinal con sabor a menta; goma de mascar medicinal; hierbas medicinales secas o conservadas; hierbas medicinales; infusiones de hierbas medicinales; infusiones medicinales; lociones faciales medicinales; lociones medicinales; lodos medicinales; medicinas crudas; medicinas herbarias; medicinas; paños impregnados con sustancias medicinales; pastillas medicinales; pociones medicinales; preparaciones medicinales para el cuidado de la salud; preparaciones medicinales; preparaciones y sustancias medicinales; propóleos para uso medicinal o terapéutico; raíces medicinales; té medicinal.
</t>
  </si>
  <si>
    <t xml:space="preserve">EXLEBEK </t>
  </si>
  <si>
    <t xml:space="preserve"> Celgene Corporation, 86 Morris Avenue, SUMMIT, NEW JERSEY 07901, US</t>
  </si>
  <si>
    <t xml:space="preserve">5. Preparaciones farmacéuticas para uso humano.
</t>
  </si>
  <si>
    <t>MAGILAB</t>
  </si>
  <si>
    <t xml:space="preserve"> I LAB S.A.S., Calle 104A No. 45A - 45, BOGOTÁ, D.C., CO</t>
  </si>
  <si>
    <t>NUTRICIÓN BIOACTIVA</t>
  </si>
  <si>
    <t xml:space="preserve"> PLENNUM S.A.S., Carrera 25, No. 65-179, Edificio Torre 25, Piso 2 , MANIZALES, CALDAS, CO</t>
  </si>
  <si>
    <t xml:space="preserve">5. Nutracéuticos para uso terapéutico. Nutracéuticos utilizados como complementos dietéticos. Suplementos alimenticios.
</t>
  </si>
  <si>
    <t>ALIMENTO DORADO MANÁ</t>
  </si>
  <si>
    <t>INDUSTRIA DE ALIMENTOS EL MANA S.A.S.</t>
  </si>
  <si>
    <t xml:space="preserve"> COMERCIALIZADORA DE PRODUCTOS CARNICOS DEL RISARALDA S.A.S., km 3 via marsella , PEREIRA, RISARALDA 660001, CO</t>
  </si>
  <si>
    <t xml:space="preserve">5. Complementos nutricionales; complementos nutricionales para seres humanos; complementos nutricionales y alimenticios.
</t>
  </si>
  <si>
    <t>BUCODEX</t>
  </si>
  <si>
    <t>GLOBAL INTERNATIONAL MEDICINE S.A.S GIMED S.A.S.</t>
  </si>
  <si>
    <t xml:space="preserve"> NTI NEW TRADE INTERNATIONAL S.A.S., AUTOPISTA BOGOTÁ - MEDELLÍN KM 4.7 COSTADO NORTE ANTES DEL PUENTE, COTA, CUNDINAMARCA, CO</t>
  </si>
  <si>
    <t xml:space="preserve">5. Productos farmacéuticos, preparaciones para uso médico y veterinario; alimentos y sustancias dietéticas para uso médico o veterinario; complementos alimenticios para personas o animales; complementos alimenticios dietéticos para uso médico.
</t>
  </si>
  <si>
    <t xml:space="preserve">ALMIN </t>
  </si>
  <si>
    <t xml:space="preserve"> almin s.a.s, kra  51 a no. 12 b sur-1'00, MEDELLIN, ANTIOQUIA, CO</t>
  </si>
  <si>
    <t>Montekast</t>
  </si>
  <si>
    <t>SELIG DE COLOMBIA S.A.</t>
  </si>
  <si>
    <t xml:space="preserve"> LABORATORIOS BAGÓ DE COLOMBIA S.A.S, CALLE 4   2 ESTE 00 PAR K2 BG 12 , CHIA, CUNDINAMARCA, CO</t>
  </si>
  <si>
    <t xml:space="preserve">5. Productos farmacéuticos y veterinarios; productos higiénicos para la medicina; sustancias dietéticas para uso médico, alimentos para bebés; emplastos, material para apósitos; material para empastar los dientes y para improntas dentales; desinfectantes; productos para la destrucción de animales dañinos; fungicidas, herbicidas.
</t>
  </si>
  <si>
    <t>BE</t>
  </si>
  <si>
    <t>Premex Inc.</t>
  </si>
  <si>
    <t xml:space="preserve"> BORGYNET INTERNATIONAL HOLDINGS CORPORATION, PLAZA 2000, CALLE 50, PISO 16, PANAMA, PANAMA, PA</t>
  </si>
  <si>
    <t xml:space="preserve">5. Caramelos vitaminados en forma de goma blanda y en forma de tableta dura.
30. Café, té, cacao y sucedáneos del café; arroz; tapioca y sagú; harinas y preparaciones a base de cereales; pan, productos de pastelería y confitería; helados; azúcar, miel, jarabe de melaza; levadura, polvos de hornear; sal; mostaza; vinagre, salsas (condimentos); especias; hielo, barquillos, galletas, frutos secos recubiertos con chocolates, chocolatería, chicles, mentas, caramelos, turrones, gomas de mascar y gomas de gelatina.
</t>
  </si>
  <si>
    <t>KAHIRI</t>
  </si>
  <si>
    <t xml:space="preserve"> TUTEUR S.A.C.I.F.I.A., Encarnación Ezcurra 365, Piso 3º, Ciudad Autónoma de Buenos Aires, (C1107CLA), República Argentina, BUENOS AIRES, DISTRITO FEDERAL / BUENOS AIRES, AR</t>
  </si>
  <si>
    <t>5, 42</t>
  </si>
  <si>
    <t xml:space="preserve">5. Productos farmacéuticos, preparaciones para uso médico; productos higiénicos y sanitarios para uso médico; alimentos y sustancias dietéticas para uso médico, alimentos para bebés; suplementos alimenticios para personas o animales; emplastos, material para apósitos; material para empastes e improntas dentales.
42. Servicios científicos y tecnológicos, laboratorios médicos, laboratorios de investigación, servicios de laboratorios; servicios de ensayo de laboratorios.
</t>
  </si>
  <si>
    <t>GASDEL DE PADEL</t>
  </si>
  <si>
    <t xml:space="preserve"> PRODUCTOS ALIMENTICIOS PADEL LTDA, TL 76 A 47 55, BOGOTÁ, D.C., CO</t>
  </si>
  <si>
    <t xml:space="preserve">5. Productos farmacéuticos, veterinarios e higiénicos, sustancias dietéticas para uso médico, alimentos para bebés, complementos nutricionales para seres humanos y animales, emplastos, material para apósitos; material para empastar los dientes y para moldes dentales; desinfectantes; productos para la destruccion de animales dañinos, fungicidas, herbicidas.
</t>
  </si>
  <si>
    <t>NERVIOVID</t>
  </si>
  <si>
    <t>LABORATORIOS DE PRODUCTOS NATURASOL MORENO GARCIA ROJAS E HIJOS &amp; CIA. S. EN C. S.</t>
  </si>
  <si>
    <t>JANUARIO PEÑA GONZALEZ, MANZANA A CASA 22 ESQUINA, URBANIZACION LA ESPERANZA., IBAGUE, TOLIMA, CO</t>
  </si>
  <si>
    <t>SOY 7.4</t>
  </si>
  <si>
    <t xml:space="preserve"> SOY HOLISTICA S.A.S., Calle 64 Sur  #46 A 12, SABANETA, ANTIOQUIA, CO</t>
  </si>
  <si>
    <t xml:space="preserve">5. Productos farmacéuticos; productos farmacéuticos homeopáticos.
35. Servicios de publicidad en relación con productos farmacéuticos.
</t>
  </si>
  <si>
    <t>INVERIS</t>
  </si>
  <si>
    <t xml:space="preserve"> BASF AGROCHEMICAL PRODUCTS B.V., GRONINGENSINGEL 1, 6835 EA ARNHEM, PAISES BAJOS, ARNHEM, GELDERLAND, NL</t>
  </si>
  <si>
    <t xml:space="preserve">5. Productos para eliminar animales dañinos; insecticidas, fungicidas, herbicidas, pesticidas.
</t>
  </si>
  <si>
    <t>BETAVET</t>
  </si>
  <si>
    <t xml:space="preserve"> MERCAVET LTDA., CALLE 45FF NO. 77A-44, MEDELLIN, ANTIOQUIA, CO</t>
  </si>
  <si>
    <t>BEAUTAMINS</t>
  </si>
  <si>
    <t xml:space="preserve"> GOOD BRANDS LATAM S.A., Samuel Lewis y Calle 53, Edificio Omega, 6° Piso, Oficina 68-888, Panamá, República de Panamá, PANAMA, PANAMA, PA</t>
  </si>
  <si>
    <t xml:space="preserve">3. Preparaciones de colágeno para uso cosmético, Productos cosméticos y preparaciones de tocador no medicinales; dentífricos no medicinales; productos de perfumería, aceites esenciales.
5. Colágeno para uso médico; Colágeno en polvo para uso médico; Suplementos nutricionales para promover una piel sana y con fines anti-envejecimiento; Suplementos proteicos; Suplementos vitamínicos.
</t>
  </si>
  <si>
    <t>EKILIVRA</t>
  </si>
  <si>
    <t xml:space="preserve">3. Productos cosméticos y preparaciones de tocador no medicinales; dentífricos no medicinales; productos de perfumería, aceites esenciales.
5. Productos farmacéuticos, preparaciones para uso médico; productos higiénicos y sanitarios para uso médico; alimentos y sustancias dietéticas para uso médico; alimentos para bebés; complementos alimenticios para personas.
</t>
  </si>
  <si>
    <t>FLAVOXIN</t>
  </si>
  <si>
    <t xml:space="preserve"> VETANCO COLOMBIA S.A.S., CALLE 24 A No. 57 - 69 INT 5 APT 503, BOGOTÁ, D.C., CO</t>
  </si>
  <si>
    <t xml:space="preserve">5. Aditivos alimentarios medicinales para uso veterinario.
</t>
  </si>
  <si>
    <t>D´Pelos Love</t>
  </si>
  <si>
    <t>TERRAZOL</t>
  </si>
  <si>
    <t>PLAGUEX SAS.</t>
  </si>
  <si>
    <t>CAROL YIULIANA ROMERO ROCHA, Dg. 3 No. 6-50, MOSQUERA, CUNDINAMARCA, CO</t>
  </si>
  <si>
    <t xml:space="preserve">5. Insecticidas; fungicidas; fungicidas biológicos; fungicidas para uso agrícola; fungicidas para uso hortícola; fungicidas, herbicidas; parasiticidas.
</t>
  </si>
  <si>
    <t>petstar</t>
  </si>
  <si>
    <t>3, 5, 18</t>
  </si>
  <si>
    <t xml:space="preserve">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18. Cuero y cuero de imitación; pieles de animales; artículos de equipaje y bolsas de transporte; paraguas y sombrillas; bastones; fustas, arneses y artículos de guarnicionería; collares, correas y ropa para animales.
</t>
  </si>
  <si>
    <t>Control Bacter</t>
  </si>
  <si>
    <t>Juan Sebastian Ordoñez Gomez, cra 14 # 10.-04, PASTO, NARIÑO 52000, CO</t>
  </si>
  <si>
    <t xml:space="preserve">5. Preparaciones antibacterianas; productos de limpieza antibacterianos; fungicidas; fungicidas para uso agrícola; fungicidas para uso doméstico; fungicidas, herbicidas; preparaciones bacterianas para uso médico o veterinario.
</t>
  </si>
  <si>
    <t>MEDILIN</t>
  </si>
  <si>
    <t>MEYER PRODUCTOS TERAPEUTICOS S.A</t>
  </si>
  <si>
    <t xml:space="preserve"> RICHTER GEDEON NYRT, 1103 BUDAPEST, GYOMROI UT 19-21, BUDAPEST, BUDAPEST, HU</t>
  </si>
  <si>
    <t xml:space="preserve">5. Preparaciones farmacéuticas.
</t>
  </si>
  <si>
    <t>LISAN</t>
  </si>
  <si>
    <t>MILLENTA</t>
  </si>
  <si>
    <t>ALIBIO</t>
  </si>
  <si>
    <t>BELLEZA EXPRESS S.A.</t>
  </si>
  <si>
    <t>BRAYAN ANDRES CARDENAS RIVERA, Cra 102#155-50, BOGOTÁ, D.C. 111111, CO</t>
  </si>
  <si>
    <t xml:space="preserve">5. Jabones y detergentes medicinales y desinfectantes.
</t>
  </si>
  <si>
    <t>EXCALIA MAX</t>
  </si>
  <si>
    <t>Compañia de Empaques S.A.</t>
  </si>
  <si>
    <t xml:space="preserve"> Sumitomo Chemical Company, Limited, 2-7-1, Nihonbashi, CHUO-KU, TOKYO 103-6020, JP</t>
  </si>
  <si>
    <t xml:space="preserve">1. Preparaciones químicas para la fabricación de insecticidas, fungicidas y herbicidas.
5. Insecticidas, fungicidas, herbicidas, y preparaciones para eliminar malas hierbas y animales dañinos.
</t>
  </si>
  <si>
    <t>TOLPROX</t>
  </si>
  <si>
    <t>KYROVET LABORATORIES S.A.</t>
  </si>
  <si>
    <t>HETERO LABS LIMITED</t>
  </si>
  <si>
    <t xml:space="preserve"> MONTANA SA,  Av. Javier Prado Este N° 6210 Oficina 401 Urb. La Riviera de Monterrico II Etapa, La Molina, LIMA, LIMA, PE</t>
  </si>
  <si>
    <t xml:space="preserve">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fungicidas, herbicidas; productos para eliminar animales dañinos.
</t>
  </si>
  <si>
    <t>NEOGLUDYNE</t>
  </si>
  <si>
    <t>laboratorio imperio natural</t>
  </si>
  <si>
    <t>MARIA JOSE PALACIOS GARZON, via comercial, ciudad country, conjunto alondra, casa 136, JAMUNDI, VALLE DEL CAUCA, CO</t>
  </si>
  <si>
    <t xml:space="preserve">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35. Publicidad; gestión de negocios comerciales; administración comercial; trabajos de oficina.
</t>
  </si>
  <si>
    <t>SAVAGE</t>
  </si>
  <si>
    <t xml:space="preserve"> ESSENCIALS LAB S.A.S, Cl 5 norte 18 a 23 ap 102 brr profesionales, ARMENIA, QUINDIO, CO</t>
  </si>
  <si>
    <t xml:space="preserve">5. Suplementos alimenticios para personas; suplementos de proteínas para personas; suplementos de vitaminas para productos alimenticios de consumo humano; suplementos proteicos para seres humanos.
</t>
  </si>
  <si>
    <t>USA HERBAL SUPPLEMENTS UHS</t>
  </si>
  <si>
    <t xml:space="preserve"> LABORATORIOS FITO MEDIC´S S.A.S., cra 15 N 6-16, CHINCHINA, CALDAS, CO</t>
  </si>
  <si>
    <t xml:space="preserve">5. Productos farmacéuticos, preparaciones para uso médico productos higiénicos y sanitarios para uso médico, alimentos y sustancias dietéticas para uso médico alimentos para bebés, complementos alimenticios para personas.
</t>
  </si>
  <si>
    <t>FARMABASE TREOXIN TX</t>
  </si>
  <si>
    <t xml:space="preserve">5. Medicamentos para uso animal en el tratamiento de enfermedades respiratorias en porcinos o cerdos.
</t>
  </si>
  <si>
    <t>VITACETAMOL</t>
  </si>
  <si>
    <t xml:space="preserve"> VITACOR PHARMA S.A.S, Cra 78 # 17 - 55 OFC 508, BOGOTÁ, D.C., CO</t>
  </si>
  <si>
    <t xml:space="preserve">5. Medicamentos; medicamentos analgésicos; medicamentos para uso humano; medicamentos para uso médico.
</t>
  </si>
  <si>
    <t>SUPRA VIT</t>
  </si>
  <si>
    <t>JOSE HERNANDO RUBIANO BUITRAGO, CARRERA 13 A 28 38 OFICINA 223, BOGOTÁ, D.C., CO</t>
  </si>
  <si>
    <t xml:space="preserve">5. Complementos alimenticios a base de minerales; complementos alimenticios a base de oligoelementos; complementos alimenticios de vitaminas y minerales; complementos alimenticios minerales para seres humanos; complementos de vitaminas para productos alimenticios de consumo humano; complementos dietéticos a base de minerales; complementos dietéticos a base de oligoelementos; complementos dietéticos de vitaminas; complementos minerales; complementos nutricionales y alimenticios; complementos vitamínicos; complementos vitamínicos y minerales.
</t>
  </si>
  <si>
    <t>VITALMINE</t>
  </si>
  <si>
    <t xml:space="preserve">5. Complementos alimenticios a base de minerales; complementos alimenticios a base de oligoelementos; complementos alimenticios de vitaminas y minerales; complementos alimenticios dietéticos en forma de cápsulas, que no sean para uso médico; complementos alimenticios minerales; complementos alimenticios minerales para seres humanos; complementos alimenticios para seres humanos; complementos alimenticios para uso médico a base de aminoácidos, minerales y oligoelementos; complementos de oligoelementos para productos alimenticios de consumo humano; complementos de vitaminas para productos alimenticios de consumo humano; complementos dietéticos a base de minerales; complementos dietéticos a base de oligoelementos; complementos dietéticos de vitaminas; complementos minerales; complementos nutricionales para seres humanos; complementos vitamínicos; complementos vitamínicos y minerales.
</t>
  </si>
  <si>
    <t>NEFROPET</t>
  </si>
  <si>
    <t>Nefrovet S.A.S.</t>
  </si>
  <si>
    <t xml:space="preserve">5. Preparaciones nutricionales para uso veterinario.
</t>
  </si>
  <si>
    <t>Waou, by sanipets</t>
  </si>
  <si>
    <t>GRUPO ANIMAL S.A.S.</t>
  </si>
  <si>
    <t xml:space="preserve"> ROYAL SM, S.A., AVENIDA FEDERICO BOYD, CONDOMINIO ALFARO PISO 6, PANAMÁ, PANAMÁ, PANAMA, PANAMA, PA</t>
  </si>
  <si>
    <t xml:space="preserve">5. Tapetes absorbentes desechables para la educación higiénica de animales de compañía; pañales desechables para animales de compañía; pañales para animales de compañía; envolturas sanitarias (pañales para animales de compañía);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t>
  </si>
  <si>
    <t>CONSUL</t>
  </si>
  <si>
    <t>COLINAGRO S.A.</t>
  </si>
  <si>
    <t xml:space="preserve"> Agroquimicos Semillas y Equipos de Riego S.A. Agroser S.A., Carrera 16 A No. 78 - 11, BOGOTA, CUNDINAMARCA, CO</t>
  </si>
  <si>
    <t xml:space="preserve">5. Fungicidas, herbicidas.
</t>
  </si>
  <si>
    <t>VIROX</t>
  </si>
  <si>
    <t>PROMOTORA DE INNOVACION EN BIOTECNOLOGIA S.A.S PROMITEC SANTANDER S.A.S.</t>
  </si>
  <si>
    <t xml:space="preserve">5. DESINFECTANTES; BACTERICIDAS; BIOCIDAS BIODEGRADABLES; PRODUCTOS PARA ELIMINAR ANIMALES DAÑINOS; INSECTICIDAS, FUNGICIDAS Y HERBICIDAS.
</t>
  </si>
  <si>
    <t>VIROX FUMIGENO</t>
  </si>
  <si>
    <t>ULTRA FACTORS</t>
  </si>
  <si>
    <t>GUSTAVO ADOLFO FRANCO LEAL, Carrera 40a No. 16 - 25, VILLAVICENCIO, META, CO</t>
  </si>
  <si>
    <t>AFTIX</t>
  </si>
  <si>
    <t>Andrés Felipe   Bautista Moya, carrera 83 a #115-72, BOGOTÁ, D.C., CO</t>
  </si>
  <si>
    <t xml:space="preserve">5. Productos farmacéuticos, preparaciones para uso médico y veterinario; productos higiénicos y sanitarios para uso médico; alimentos y sustancias dietéticas para uso médico o veterinario, alimentos para bebés; suplementos alimenticios para personas o animales; probióticos, emplastos, material para apósitos; material para empastes e impresiones dentales; desinfectantes; productos para eliminar animales dañinos; fungicidas, herbicidas.
</t>
  </si>
  <si>
    <t>TUOM</t>
  </si>
  <si>
    <t xml:space="preserve"> JOSE JOAQUIN BITAR NAME S.A.S., CRR. 16 NO. 22-64 OF. 202, SINCELEJO, SUCRE, CO</t>
  </si>
  <si>
    <t xml:space="preserve">5. Preparaciones y suplementos para la salud; suplementos alimenticios; suplementos alimenticios dietéticos; suplementos alimenticios dietéticos en forma de cápsulas, que no sean para uso médico; suplementos dietéticos; cápsulas para medicamentos; medicamentos; medicamentos bioquímicos; medicamentos fitoterapéuticos para el consumo humano; medicamentos y agentes terapéuticos.
</t>
  </si>
  <si>
    <t>BRONC TOS</t>
  </si>
  <si>
    <t>EDGAR LARA MUÑOZ, Calle 38c bis #79f - 35 sur, BOGOTÁ, D.C., CO</t>
  </si>
  <si>
    <t xml:space="preserve">5. MEDICAMENTOS FITOTERAPEUTICOS.
</t>
  </si>
  <si>
    <t>MIDEXEL</t>
  </si>
  <si>
    <t xml:space="preserve"> EXELTIS HEALTHCARE, S.L. , Avdª. Miralcampo, 7 – P.I. Miralcampo 19200 AZUQUECA DE HENARES (GUADALAJARA) ESPAÑA, AZUQUECA DE HENARES, GUADALAJARA, ES</t>
  </si>
  <si>
    <t xml:space="preserve">5. Productos farmacéuticos sedantes y relajantes para aliviar la ansiedad y tensión muscular.
</t>
  </si>
  <si>
    <t>ARTRX REUM</t>
  </si>
  <si>
    <t>CICA3+</t>
  </si>
  <si>
    <t xml:space="preserve"> VENZOTECH CO S.A.S., Transversal 43 # 26 - 103, GIRON, SANTANDER, CO</t>
  </si>
  <si>
    <t>TIFFON</t>
  </si>
  <si>
    <t>QUÍMICOS Y LUBRICANTES, S.A.</t>
  </si>
  <si>
    <t>RUSTER</t>
  </si>
  <si>
    <t>TRADE CORPORATION INTERNATIONAL, S.A. -SOCIEDAD UNIPERSONAL</t>
  </si>
  <si>
    <t>DANTE</t>
  </si>
  <si>
    <t>Bonnat Personal Care</t>
  </si>
  <si>
    <t>Valentina Arias Buritica, Calle 65 # 46 A - 98, ITAGUI, ANTIOQUIA, CO</t>
  </si>
  <si>
    <t>BRONPOL</t>
  </si>
  <si>
    <t>JULIAN ALBERTO VALENCIA HINCAPIE, CALLE 24 No. 10-19, PEREIRA, RISARALDA, CO</t>
  </si>
  <si>
    <t xml:space="preserve">5. Complementos alimenticios a base de polen; complementos alimenticios; suplementos alimenticios a base de polen; suplementos alimenticios a base de propóleos.
</t>
  </si>
  <si>
    <t>BARBARIAN</t>
  </si>
  <si>
    <t>BIGA</t>
  </si>
  <si>
    <t>COUPON</t>
  </si>
  <si>
    <t>OXY.CLOR ALTO PODER DESINFECTANTE</t>
  </si>
  <si>
    <t>ASEQUIMICOS S.A.S.</t>
  </si>
  <si>
    <t xml:space="preserve"> MANALUR S.A.S., CL 50 # 17-16, ARMENIA, QUINDIO, CO</t>
  </si>
  <si>
    <t xml:space="preserve">5. Desinfectantes; desinfectantes domésticos; desinfectantes multiuso; desinfectantes para piscinas; desinfectantes para uso doméstico; desinfectantes para uso higiénico; desinfectantes para uso médico; desinfectantes para uso sanitario; desinfectantes para uso veterinario; desinfectantes para inodoros químicos; desinfectantes para instrumental médico; desinfectantes para lentes de contacto; desinfectantes y antisépticos; preparaciones desinfectantes para uso doméstico; preparaciones desinfectantes para uso hospitalario; productos de limpieza desinfectantes para el baño; productos de limpieza desinfectantes para inodoros; productos desinfectantes para lavarse las manos.
</t>
  </si>
  <si>
    <t>Colagen-Rose</t>
  </si>
  <si>
    <t xml:space="preserve"> LABORATORIO LAURANG ROSE SAS, Carrera 112 No. 23 B-10, BOGOTÁ, D.C., CO</t>
  </si>
  <si>
    <t xml:space="preserve">PROPOGEN </t>
  </si>
  <si>
    <t>MARIA DEL MAR  GOMEZ ESCOBAR, CARRERA 72 A 49A 66, BOGOTÁ, D.C., CO</t>
  </si>
  <si>
    <t xml:space="preserve">5. Suplementos alimenticios a base de propóleos; suplementos nutricionales y alimenticios; productos farmacéuticos.
</t>
  </si>
  <si>
    <t>TIZANYLQRP</t>
  </si>
  <si>
    <t xml:space="preserve"> RV FARMACEUTICA LTDA, CALLE 68 57 -82 PISO 2, BOGOTÁ, D.C., CO</t>
  </si>
  <si>
    <t xml:space="preserve">KAY </t>
  </si>
  <si>
    <t xml:space="preserve"> Ecolab USA Inc., 1 Ecolab Place St. Paul, Minnesota 55102 , SAINT PAUL, MINNESOTA, US</t>
  </si>
  <si>
    <t xml:space="preserve">3. Productos blanqueadores y otras sustancias para lavar la ropa; preparaciones para limpiar, pulir, fregar y raspar; productos desengrasantes; quitamanchas; detergentes; detergentes para lavar los platos; detergente para baños; productos desoxidantes; detergente para alfombras; limpiadores de hornos; polvo descontaminante; paños de limpieza impregnados con detergente; preparaciones para limpiar pisos; lavado de piso; soluciones decapantes; encáusticos.
5. Desinfectantes; desinfectantes y preparaciones higienizantes; toallitas desinfectantes; antisépticos; germicidas; fungicidas; desinfectantes para uso higiénico; desinfectantes y productos antimicrobianos; desodorantes de ambiente; productos para purificar el aire; bactericidas; preparaciones de desodorización para alfombras; ambientadores.
</t>
  </si>
  <si>
    <t>RED CANNABIS MEDICINAL VETERINARIA VETCANN</t>
  </si>
  <si>
    <t xml:space="preserve"> RED CANNABIS MEDICINAL VETERINARIA S.A.S, Carrera 33 No. 99A -15, MANIZALES, CALDAS 170017, CO</t>
  </si>
  <si>
    <t xml:space="preserve">5. Cannabis medicinal en forma de aceites para facilitar la administración de fármacos; cannabis medicinal en forma de tisanas; cannabis medicinal en forma de tisanas para uso medicinal.
</t>
  </si>
  <si>
    <t>Colombia Origins Honey</t>
  </si>
  <si>
    <t xml:space="preserve"> RIOSIERRA SAS, cra 1c #22-58 of 604 edificio bahia centro, SANTA MARTA, MAGDALENA, CO</t>
  </si>
  <si>
    <t xml:space="preserve">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30. Té y cacao; arroz; tapioca y sagú; harinas y preparaciones a base de cereales; pan, productos de pastelería y confitería; helados; azúcar, miel, jarabe de melaza; levadura, polvos de hornear; sal; mostaza; vinagre, salsas (condimentos); especias; hielo.
</t>
  </si>
  <si>
    <t>CRYSTHOIDEX</t>
  </si>
  <si>
    <t>JESUS ESTEBAN MONTES PINZON, calle 66B N°57B-20, BOGOTÁ, D.C., CO</t>
  </si>
  <si>
    <t xml:space="preserve">5. Productos farmacéuticos y medicinales;drogas,medicamentos y fitomedicamentos, suplementos dietarios.
</t>
  </si>
  <si>
    <t xml:space="preserve">Be-Bindio </t>
  </si>
  <si>
    <t>JHON JAIRO SALAZAR VALLEJO, CLL 54 NO. 49-25 Parque Bolivar, MEDELLIN, ANTIOQUIA, CO</t>
  </si>
  <si>
    <t xml:space="preserve">5. Complementos y Suplementos alimenticios, complementos nutricionales, elaborados de productos naturales para personas.
</t>
  </si>
  <si>
    <t>TADOLOX</t>
  </si>
  <si>
    <t xml:space="preserve">5. Medicamentos para el tratamiento de las patologías del sistema nervioso central.
</t>
  </si>
  <si>
    <t>Diol</t>
  </si>
  <si>
    <t>PARFUMS
CHRISTIAN DIOR.</t>
  </si>
  <si>
    <t xml:space="preserve"> Tang Morales y Asociados SAS, Cra 16 # 82-90, BOGOTÁ, D.C., CO</t>
  </si>
  <si>
    <t xml:space="preserve">5. Aceite de cáñamo para uso veterinario; aceites antirreumáticos; aceites medicinales para bebés; aceites medicinales para masajes; aceites para el cuidado de la piel [medicinales]; aceites para el cuidado de la piel, medicinales; aceites para el tratamiento de reumatismo; aceites para el tratamiento de reumatosis; aceites para uso médico; cannabis medicinal en forma de aceites para facilitar la administración de fármacos; soluciones de aceites medicinales.
</t>
  </si>
  <si>
    <t>LOXA</t>
  </si>
  <si>
    <t>Tatiana Rosa Lara Espitia, altos del nuevo bosque mz E lote 2, CARTAGENA, BOLIVAR, CO</t>
  </si>
  <si>
    <t xml:space="preserve">5. Lociones capilares medicinales; lociones faciales medicinales.
</t>
  </si>
  <si>
    <t>ZENTI</t>
  </si>
  <si>
    <t>OLGA BEATRIZ SALAZAR OBANDO, Av 7 No. 66N - 15, CALI, VALLE DEL CAUCA 760046, CO</t>
  </si>
  <si>
    <t xml:space="preserve">5. Velas de masaje medicinales; velas de masaje para uso terapéutico.
</t>
  </si>
  <si>
    <t>ALAMM MAKA</t>
  </si>
  <si>
    <t>NATALIE VICTORIA ESCUDERO SANCHEZ, Calle 45 # 98b 65, CALI, VALLE DEL CAUCA, CO</t>
  </si>
  <si>
    <t xml:space="preserve">5. Complementos alimenticios a base de maca; suplementos alimenticios; suplementos dietéticos; suplementos nutricionales; suplementos probióticos; suplementos alimenticios para humanos; suplementos alimenticios dietéticos.
</t>
  </si>
  <si>
    <t>TOSFLEM</t>
  </si>
  <si>
    <t>LG PHARMA CIA LTDA.</t>
  </si>
  <si>
    <t xml:space="preserve"> BIOQUIMICO PHARMA S.A., TRANSVERSAL 76 B NO. 47-14, BOGOTÁ, D.C., CO</t>
  </si>
  <si>
    <t xml:space="preserve">5. PRODUCTOS FARMACÉUTICOS DE USO MÉDICO.
</t>
  </si>
  <si>
    <t>MUCOFLEM</t>
  </si>
  <si>
    <t>MECTIMAX GOLD AGENER</t>
  </si>
  <si>
    <t xml:space="preserve">5. Preparaciones farmacéuticas, médicas y veterinarias; medicamentos para uso humano; preparaciones farmacéuticas; medicamentos para uso veterinario; preparaciones veterinarias; acaricidas; parasiticidas; insecticidas; preparaciones para exterminar larvas; preparaciones para destruir animales nocivos; vermífugos/antihelmínticos; preparaciones para destruir alimañas.
</t>
  </si>
  <si>
    <t>DORAX PLUS PASTA AGENER</t>
  </si>
  <si>
    <t xml:space="preserve">5. Preparaciones farmacéuticas veterinarias; medicamentos para uso veterinario; preparaciones veterinarias; acaricidas; parasiticidas; insecticidas; preparaciones para exterminar larvas; preparaciones para destruir animales nocivos; vermífugos/antihelmínticos para uso veterinario; preparaciones para destruir alimañas.
</t>
  </si>
  <si>
    <t>CALMIUN AGENER</t>
  </si>
  <si>
    <t xml:space="preserve">5. Preparaciones farmacéuticas, médicas y veterinarias; medicamentos para uso humano; preparaciones farmacéuticas; medicamentos para uso veterinario; preparaciones veterinarias; sedantes; anestésicos; analgésicos; tranquilizantes; relajantes musculares.
</t>
  </si>
  <si>
    <t>Juven AT Wound care</t>
  </si>
  <si>
    <t>JUAN PABLO CAÑON GORDILLO, Carrera  8D  No. 155-54, BOGOTÁ, D.C., CO</t>
  </si>
  <si>
    <t>DORMIUN V AGENER</t>
  </si>
  <si>
    <t xml:space="preserve">5. Preparaciones farmacéuticas, médicas y veterinarias; medicamentos para uso humano; preparaciones farmacéuticas; medicamentos para uso veterinario; preparaciones veterinarias; sedantes; anestésicos; tranquilizantes; analgésicos.
</t>
  </si>
  <si>
    <t>ULTIMATUN MIX</t>
  </si>
  <si>
    <t xml:space="preserve"> AGROACTIVA JVR S.A.S., CALLE 47 1-28 PISO 3, TUNJA, BOYACA 15001, CO</t>
  </si>
  <si>
    <t xml:space="preserve">5. Fungicidas; fungicidas biológicos; fungicidas para uso agrícola; fungicidas, herbicidas; preparaciones herbicidas y plaguicidas; herbicidas; herbicidas biológicos; herbicidas para uso agrícola.
</t>
  </si>
  <si>
    <t>ORALDINE</t>
  </si>
  <si>
    <t>TOSFLEM DUO</t>
  </si>
  <si>
    <t>RIFADIN</t>
  </si>
  <si>
    <t>HOECHST &amp; HORMONA PLOUGH</t>
  </si>
  <si>
    <t xml:space="preserve"> COLGENERICOS S.A., CRA 12 No.17-67, BOGOTÁ, D.C., CO</t>
  </si>
  <si>
    <t xml:space="preserve">5. PRODUCTOS FARMACÉUTICOS DE USO MÉDICO.
35. COMPRA, VENTA, IMPORTACIÓN, EXPORTACIÓN DE PRODUCTOS FARMACEUTICOS.
</t>
  </si>
  <si>
    <t>NAGEIA DISPENSARIO</t>
  </si>
  <si>
    <t>MANUELA GOMEZ OSPINA.</t>
  </si>
  <si>
    <t xml:space="preserve"> NATURABIS GROUP S.A.S., Carrera 74 D # 75-19 Ed. Dinamarca Int 203, MEDELLIN, ANTIOQUIA 050001, CO</t>
  </si>
  <si>
    <t xml:space="preserve">5. Cánnabis médico; cánnabis para uso médico; cannabis medicinal en forma de aceites para facilitar la administración de fármacos; cannabis medicinal en forma de tisanas; cannabis medicinal en forma de tisanas para uso medicinal; cannabis para uso médico; adyuvantes para uso médico; extractos de hierbas medicinales para uso médico; preparaciones de hierbas para uso médico; marihuana para uso médico; parches transdérmicos que facilitan el suministro de marihuana para uso médico.
</t>
  </si>
  <si>
    <t>PROVECA</t>
  </si>
  <si>
    <t>Keralty S.A.S.</t>
  </si>
  <si>
    <t xml:space="preserve"> Proveca Limited, Wework No1 Spinningfields, Quay Street, Manchester, England M3 3JE, MANCHESTER, INGLATERRA, GB</t>
  </si>
  <si>
    <t>5, 40, 42, 44</t>
  </si>
  <si>
    <t xml:space="preserve">5. Reactivos de diagnóstico químico para uso médico; reactivos para diagnóstico clínico; agentes diagnósticos para uso farmacéuticos; preparaciones para diagnóstico; drogas para fines médicos; reactivos para diagnóstico médico; medicinas; medicinas para fines humanos; medicinas para uso específico con niños; drogas farmacéuticas; vacunas; vacunas para uso humano; vacunas virales; ninguno de los mencionados para uso en el tratamiento de venas varicosas o malformaciones arteriovenosas.
40. Fabricación personalizada de medicamentos farmacéuticos, vacunas y tratamientos para uso humano; ninguno de los anteriores para el uso en el tratamiento de venas varicosas o malformaciones arteriovenosas.
42. Investigación clínica; realización de ensayos clínicos para productos farmacéuticos; consultoría relacionada con la investigación y el desarrollo farmacéutico; desarrollo y modificación de medicinas existentes, vacunas y tratamientos para garantizar que son adecuados para uso con grupos específicos por ejemplo niños; desarrollo de preparaciones farmacéuticas y medicinas; investigación médica; servicios de desarrollo de drogas farmacéuticas; análisis de productos farmacéuticos; evaluación de productos farmacéuticos; investigación y desarrollo de vacunas y medicinas; investigación de farmacéuticos; ensayos de químicos; ensayos de farmacéuticos; ninguno de los mencionados para uso en el tratamiento de venas varicosas o malformaciones arteriovenosas.
44. Provisión de información relacionada con la medicina; consultoría farmacéutica; provisión de información farmacéutica; provisión de información relacionada con farmacéuticos; servicios de asesoría relacionados con farmacéuticos; ninguno de los mencionados para uso en el tratamiento de venas varicosas o malformaciones arteriovenosas.
</t>
  </si>
  <si>
    <t>AM1 AMERICAN NATURAL NUTRITION</t>
  </si>
  <si>
    <t>KLEY DARIO ZAMBRANO DUEÑAS, Guayacanes Mz.40 v.15, GUAYAQUIL, GUAYAS, EC</t>
  </si>
  <si>
    <t xml:space="preserve">5. Productos farmacéuticos, preparaciones para uso médico y veterinario.; Productos higiénicos y sanitarios para uso médico.; Productos para eliminar animales dañinos.; Aditivos alimentarios medicinales para uso farmacéutico.; Alimentos y sustancias dietéticas para uso médico o veterinario.; Aditivos minerales para productos alimenticios de consumo humano.; Alcaloides para uso médico.; Alimentos dietéticos para uso médico.; Alimentos y bebidas dietéticos para uso médico.; Barras energéticas utilizadas como complementos alimenticios.; Complementos alimenticios para personas o animales.; Complementos alimenticios.; Complementos alimenticios dietéticos en cápsulas.; Complementos alimenticios minerales.; Complementos alimenticios para humanos.; Complementos dietéticos.; Complementos minerales.; Complementos nutricionales.; Complementos vitamínicos.; Complementos vitamínicos para productos alimenticios de consumo humano.; Complementos vitamínicos y minerales.; Cápsulas a base de hierbas para potenciar la sexualidad masculina.; Fármacos.; Medicamentos para uso humano.; Medicamentos sin prescripción médica.; Medicamentos sin receta.; Preparaciones de diagnóstico o tratamiento de trastornos relacionados con la fertilidad y reproducción sexual.; Preparaciones de testosterona.; Preparaciones hormonales mixtas.; Preparaciones para aumentar el deseo sexual.; Preparaciones para aumentar la excitación sexual.; Preparaciones para mejorar la prestación sexual.; Preparaciones y complementos para la salud.; Preparaciones y suplementos para la salud.; Preparaciones y sustancias medicinales.; Preparados farmacéuticos que contienen hormonas para seres humanos.; Preparados inyectables para el tratamiento de la impotencia sexual.; Preparados medicinales para uso en cuanto aditivos alimenticios para consumo humano.; Preparados para mejorar la prestación sexual.; Preparados vitamínicos para el consumo humano.; Productos farmacéuticos para el tratamiento de trastornos de la erección.; Productos farmacéuticos para tratar la disfunción eréctil.; Productos farmacéuticos para uso humano.; Suplementos alimenticios.; Suplementos alimenticios a base de proteínas.; Suplementos alimenticios para humanos.; Suplementos de proteínas para personas..
</t>
  </si>
  <si>
    <t>TROYA XXL FORTE</t>
  </si>
  <si>
    <t xml:space="preserve">5. Productos farmacéuticos, preparaciones para uso médico y veterinario.; Productos higiénicos y sanitarios para uso médico.; Productos para eliminar animales dañinos.; Aditivos alimentarios medicinales para uso farmacéutico.; Alimentos y sustancias dietéticas para uso médico o veterinario.; Aditivos minerales para productos alimenticios de consumo humano.; Alcaloides para uso médico.; Alimentos dietéticos para uso médico.; Alimentos y bebidas dietéticos para uso médico.; Barras energéticas utilizadas como complementos alimenticios.; Complementos alimenticios para personas o animales.; Complementos alimenticios.; Complementos alimenticios dietéticos en cápsulas.; Complementos alimenticios minerales.; Complementos alimenticios para humanos.; Complementos dietéticos.; Complementos minerales.; Complementos nutricionales.; Complementos vitamínicos.; Complementos vitamínicos para productos alimenticios de consumo humano.; Complementos vitamínicos y minerales.; Cápsulas a base de hierbas para potenciar la sexualidad masculina.; Fármacos.; Medicamentos para uso humano.; Medicamentos sin prescripción médica.; Medicamentos sin receta.; Preparaciones de diagnóstico o tratamiento de trastornos relacionados con la fertilidad y reproducción sexual.; Preparaciones de testosterona.; Preparaciones hormonales mixtas.; Preparaciones para aumentar el deseo sexual.; Preparaciones para aumentar la excitación sexual.; Preparaciones para mejorar la prestación sexual.; Preparaciones y complementos para la salud.; Preparaciones y suplementos para la salud.; Preparaciones y sustancias medicinales.; Preparados farmacéuticos que contienen hormonas para seres humanos.; Preparados inyectables para el tratamiento de la impotencia sexual.; Preparados medicinales para uso en cuanto aditivos alimenticios para consumo humano.; Preparados para mejorar la prestación sexual.; Preparados vitamínicos para el consumo humano.; Productos farmacéuticos para el tratamiento de trastornos de la erección.; Productos farmacéuticos para tratar la disfunción eréctil.; Productos farmacéuticos para uso humano.; Suplementos alimenticios.; Suplementos alimenticios a base de proteínas.; Suplementos alimenticios para humanos.; Suplementos de proteínas para personas.
</t>
  </si>
  <si>
    <t>EL PATRON</t>
  </si>
  <si>
    <t xml:space="preserve"> FARMAVIT EMPRESA ASOCIATIVA DE TRABAJO, SIN ESTABLECER, CALI, VALLE DEL CAUCA 110000, CO</t>
  </si>
  <si>
    <t xml:space="preserve">5. Suplementos alimenticios.
</t>
  </si>
  <si>
    <t>CURALANCHA</t>
  </si>
  <si>
    <t xml:space="preserve"> INTEROC S.A, KM 16 1/2 VIA A DAULE, GUAYAQUIL, ECUADOR, GUAYAQUIL, GUAYAS, EC</t>
  </si>
  <si>
    <t xml:space="preserve">5. Productos para eliminar animales dañinos; fungicidas, herbicidas.
</t>
  </si>
  <si>
    <t>SKINVIVE</t>
  </si>
  <si>
    <t xml:space="preserve"> ALLERGAN HOLDINGS FRANCE SAS, Tour CBX, 1 passerelle des Reflets, COURBEVOIE, HAUTS-DE-SEINE 92400, FR</t>
  </si>
  <si>
    <t>5, 10</t>
  </si>
  <si>
    <t xml:space="preserve">5. Productos farmacéuticos para el tratamiento de líneas del entrecejo, arrugas faciales, asimetrías y defectos y condiciones de la piel humana; implantes dérmicos biológicos, a saber, soluciones de visco-suplementación para rellenar arrugas.
10. Aparatos para el tratamiento de líneas del entrecejo, arrugas faciales, asimetrías y defectos y condiciones de la piel humana.
</t>
  </si>
  <si>
    <t>S SKINVIVE BY JUVÉDERM</t>
  </si>
  <si>
    <t>D´care</t>
  </si>
  <si>
    <t xml:space="preserve"> GENERAL DOLLAR SOURCING INC., Edificio PH Art &amp; Yoo, Local 2, Avenida Balboa, CIUDAD DE PANAMA, PANAMA, PA</t>
  </si>
  <si>
    <t>3, 5, 8, 21</t>
  </si>
  <si>
    <t xml:space="preserve">3. Shampoo, acondicionador, cremas corporales, gel de ducha, jabón líquido, jabón de manos, productos de cuidado personal, cremas faciales, toallitas impregnadas de preparaciones desmaquillantes, desodorantes, spray (rociadores) corporales [cosméticos], limpiadores faciales, gel de afeitar, crema para depilar, cremas dentales, perfumería (body spray), productos para el cabello, tintes para cabello, esmaltes, quitaesmaltes, mascarillas faciales, ceras corporales (depilatorias), jabón corporal de barra, preparaciones exfoliantes, aceites corporales, cremas reductoras [preparaciones cosméticas adelgazantes], desodorantes en spray y talco para pies, enjuagues bucales que no sean para uso médico, preparaciones de higiene íntima para uso sanitario.
5. Desinfectantes, enjuague bucal (para uso médico), compresas higiénicas, toallas sanitarias, jabones íntimos medicinales.
8. Rasuradoras, cortaúñas eléctricos o no, alicates, limas de uñas.
21. Cepillos de dientes.
</t>
  </si>
  <si>
    <t>Trizoliv</t>
  </si>
  <si>
    <t xml:space="preserve"> ALPHALAB S.A.S., Carrera  19 34-14 Local  2, BOGOTÁ, D.C., CO</t>
  </si>
  <si>
    <t xml:space="preserve">5. Cremas medicamentosas; cremas medicamentosas para la piel.
</t>
  </si>
  <si>
    <t>ONDA FITNESS</t>
  </si>
  <si>
    <t>JUAN DAVID  CAMACHO ARCINIEGAS , Calle 17 N 5n #39, Versalles, CALI, VALLE DEL CAUCA, VALLE DEL CAUCA 7600046, CO</t>
  </si>
  <si>
    <t xml:space="preserve">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suplementos vitamínicos como proteínas, te, vitaminas Colágeno, aminoácidos,creatina.
</t>
  </si>
  <si>
    <t>TOTTUS 35 SC</t>
  </si>
  <si>
    <t>ESSENTIAL EXPORT, LTDA.</t>
  </si>
  <si>
    <t xml:space="preserve"> MESSIS S.A.S., Calle 4 Norte # 1N - 10 Of 1103 , CALI, VALLE DEL CAUCA, CO</t>
  </si>
  <si>
    <t xml:space="preserve">1. Abonos para uso agrícola; acondicionadores de suelos con fines agrícolas; acondicionadores de suelos para uso agrícola; aditivos prebióticos para uso en el crecimiento de productos agrícolas y plantas; cal agrícola; caliza granulada para uso agrícola; caliza pulverizada para uso agrícola; fertilizantes para uso agrícola; fertilizantes sintéticos para uso agrícola; genes de origen biotecnológico destinados a la producción de semillas agrícolas; genes de origen biotecnológico para ser utilizados en la fabricación de semillas agrícolas; genes de semillas para la producción agrícola; genes derivados de la biotecnología para ser utilizados en la fabricación de semillas agrícolas; genes derivados de la biotecnología para uso en la elaboración de semillas agrícolas; giberelinas para uso agrícola; hollín para uso agrícola o industrial; productos para enmendar suelos de uso agrícola; productos químicos de tratamiento de semillas para uso agrícola; productos químicos para uso agrícola, excepto fungicidas, herbicidas, insecticidas y parasiticidas; productos químicos para uso agrícola, hortícola y forestal, excepto fungicidas, herbicidas, insecticidas y parasiticidas; reguladores de crecimiento vegetal para uso agrícola; reguladores del crecimiento vegetal para uso agrícola.
5. Acaricidas para uso agrícola; alguicidas para uso agrícola; fungicidas para uso agrícola; herbicidas para uso agrícola; insecticidas para uso agrícola.
</t>
  </si>
  <si>
    <t>NUTRABIOTICS RELIVA CBD</t>
  </si>
  <si>
    <t xml:space="preserve"> NUTRABIOTICS S.A.S, AV. 13 N° 232-35 LOCAL 4-005 C.CIAL. BIMA, BOGOTÁ, D.C., CO</t>
  </si>
  <si>
    <t>NUTRABIOTICS INFLANEX CBD</t>
  </si>
  <si>
    <t>FACINIB</t>
  </si>
  <si>
    <t>Laboratorios Legrand S.A.</t>
  </si>
  <si>
    <t xml:space="preserve"> LOGISTICS BUSINESS SERVICES COLOMBIA SAS, Calle 85a No. 28b-34, BOGOTÁ, D.C. 111211, CO</t>
  </si>
  <si>
    <t>TEBIRA</t>
  </si>
  <si>
    <t>GENBIE S.A.S.</t>
  </si>
  <si>
    <t>KRYSTEM</t>
  </si>
  <si>
    <t xml:space="preserve"> JILOCA INDUSTRIAL,S.A, Antigua Azucarera, s/n;  44360 SANTA EULALIA DEL CAMPO , TERUEL, TERUEL, ES</t>
  </si>
  <si>
    <t xml:space="preserve">5. PRODUCTOS PARA LA DESTRUCCIÓN DE ANIMALES DAÑINOS; INSECTICIDAS, FUNGICIDAS, HERBICIDAS, Y PLAGUICIDAS PARA USO AGRÍCOLA, COMERCIAL Y DOMESTICO. GERMICIDAS.
</t>
  </si>
  <si>
    <t>ataka</t>
  </si>
  <si>
    <t xml:space="preserve"> TNC Pharma SAS, cra 49b No. 76-151, BARRANQUILLA, ATLÁNTICO, CO</t>
  </si>
  <si>
    <t xml:space="preserve">5. Multivitaminas.
</t>
  </si>
  <si>
    <t>EKOMAX</t>
  </si>
  <si>
    <t xml:space="preserve"> CENTRO CIENTIFICO INTERNACIONAL DE MEDICINA BIOLOGICA SAS, CRA 24 # 45A33, BOGOTÁ, D.C., CO</t>
  </si>
  <si>
    <t>lorganique</t>
  </si>
  <si>
    <t>Ivonne  Carvajal Marin, carrera 83 aa #17-78, MEDELLIN, ANTIOQUIA, CO</t>
  </si>
  <si>
    <t xml:space="preserve">3. Champús capilares; champúes para el cabello; champús para el cabello; champús no medicinales; champús para el cabello humano; champús para el cabello y el cuerpo; champús y acondicionadores; champús no medicinales contra la caspa; champúes para bebés; cremas cosméticas para el tratamiento de los labios; preparaciones cosméticas para el tratamiento de la piel; preparaciones para tratamientos capilares; preparados cosméticos para el tratamiento de la piel; productos y tratamientos para el cabello; cosméticos para tratamiento de belleza cosméticos para el cuidado de belleza; cremas no medicinales para el tratamiento del cuero cabelludo; preparaciones cosméticas no medicinales para tratamientos capilares; preparaciones cosméticas no medicamentosas para tratamientos capilares.
5. Champú para el crecimiento del cabello.
42. Investigación en laboratorio en el ámbito de los productos cosméticos; desarrollo y pruebas de métodos de producción química.
</t>
  </si>
  <si>
    <t>ENERGY PET</t>
  </si>
  <si>
    <t>CEDRIT</t>
  </si>
  <si>
    <t>SUMITOMO CHEMICAL COLOMBIA S.A.S</t>
  </si>
  <si>
    <t>QUALA INC.</t>
  </si>
  <si>
    <t>ALEXANDER FORERO TORRES, CAR 62 # # 99 -73, BOGOTÁ, D.C., CO; STELLA ROCIO  JARAMILLO GARZON, calle 20 sur # 52C-38 , BOGOTÁ, D.C., CO</t>
  </si>
  <si>
    <t xml:space="preserve">5. Suplementos dietarios.
</t>
  </si>
  <si>
    <t>SATIMAX</t>
  </si>
  <si>
    <t>GW Pharma Limited.</t>
  </si>
  <si>
    <t>P.A. Exito Signos Distintivos - Administrado por Fiduciaria Bancolombia S.A.</t>
  </si>
  <si>
    <t>ALLEM ANGELICA HUERTAS SIPAGAUTA, DIAGONAL 3 No. 22 - 11, FUSAGASUGA, CUNDINAMARCA 252211, CO</t>
  </si>
  <si>
    <t xml:space="preserve">5. Productos farmacéuticos homeopáticos.
</t>
  </si>
  <si>
    <t>QUADRIDERM</t>
  </si>
  <si>
    <t>DIANA MILENA BELTRAN ROZO, CALLE 24 # 14-74 Barrio Santa Lucia , TUNJA, BOYACA, CO</t>
  </si>
  <si>
    <t>GARAMICINA</t>
  </si>
  <si>
    <t>exercross</t>
  </si>
  <si>
    <t>Ivanna Charlotte Sanchez Gonzalez, Cra 103#11-40, CALI, VALLE DEL CAUCA 760031, CO</t>
  </si>
  <si>
    <t xml:space="preserve">5. Proteínas de suero de leche en polvo en cuanto complementos nutricionales; proteínas de suero de leche en polvo [complementos nutricionales]; proteínas de suero de leche [complementos nutricionales]; proteínas de suero de leche en cuanto complementos nutricionales; complementos nutricionales.
</t>
  </si>
  <si>
    <t>TRI</t>
  </si>
  <si>
    <t xml:space="preserve"> EUROFARMA COLOMBIA S.A.S., AV. CARRERA  68 NO. 17 - 64, BOGOTÁ, D.C., CO</t>
  </si>
  <si>
    <t xml:space="preserve">5. Medicamentos; medicamentos para uso médico; medicamentos y agentes terapéuticos; preparaciones farmacéuticas para uso humano; productos farmacéuticos; productos farmacéuticos, preparaciones para uso médico.
</t>
  </si>
  <si>
    <t>HEPTAR</t>
  </si>
  <si>
    <t>MAITE</t>
  </si>
  <si>
    <t>CARBOLITIUM</t>
  </si>
  <si>
    <t>LABORATORIOS BUSSIE S.A.</t>
  </si>
  <si>
    <t>MUCLEAR</t>
  </si>
  <si>
    <t xml:space="preserve">5. Productos farmacéuticos, preparaciones para uso médico; preparaciones sanitarias para uso médico; alimentos y sustancias dietéticas para uso médico, alimentos para bebés; suplementos alimenticios para seres humanos; drogas para uso médico.
</t>
  </si>
  <si>
    <t>Bradiclos</t>
  </si>
  <si>
    <t xml:space="preserve"> MEGA LABS S.A., Ruta 101 Km. 23.500, Parque de las Ciencias, Edificio Mega Pharma, Piso 3, 14.000, CANELONES, CANELONES, UY</t>
  </si>
  <si>
    <t xml:space="preserve">5. Medicamentos oncológicos, incluyendo citostáticos, antineoplásicos, tratamiento de leucemia y de metástasis. Medicamentos obtenidos mediante procesos biotecnológicos, incluyendo tecnología de ADN recombinante.
</t>
  </si>
  <si>
    <t>MATIZ</t>
  </si>
  <si>
    <t>Royal Dog PET</t>
  </si>
  <si>
    <t>ROYAL CANIN SAS</t>
  </si>
  <si>
    <t xml:space="preserve"> DISVET VETERINARIA SAS, CR 15 Su No 47 C - 27, BARRANQUILLA, ATLÁNTICO, CO</t>
  </si>
  <si>
    <t xml:space="preserve">5. Alimentos dietéticos para uso veterinario; complementos alimenticios para uso farmacéutico y veterinario; preparaciones farmacéuticas y veterinarias para uso médico; preparaciones veterinarias; preparaciones y sustancias veterinarias; complementos alimenticios para seres humanos; medicamentos para uso humano; suplementos alimenticios medicinales para consumo humano; suplementos alimenticios para humanos; alimentos y bebidas dietéticos para uso veterinario; alimentos y sustancias dietéticas para uso médico o veterinario; almidón para uso dietético y farmacéutico; complementos dietéticos para personas y animales; complementos dietéticos y nutricionales; preparaciones dietéticas para uso médico; suplementos dietéticos.
</t>
  </si>
  <si>
    <t>EVIDENCE</t>
  </si>
  <si>
    <t xml:space="preserve"> COMERCIALIZADORA MONSERRATH S.A.S. , calle 66b #57B-20, BOGOTÁ, D.C., CO</t>
  </si>
  <si>
    <t>ICANN GROUP</t>
  </si>
  <si>
    <t xml:space="preserve"> ICANN GROUP S.A.S, calle 33 No 74 e 30 , MEDELLIN, ANTIOQUIA, CO</t>
  </si>
  <si>
    <t xml:space="preserve">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42. Servicios científicos y tecnológicos, así como servicios de investigación y diseño en estos ámbitos; servicios de análisis e investigación industriales; diseño y desarrollo de equipos informáticos y de software.
</t>
  </si>
  <si>
    <t>BEKEMV</t>
  </si>
  <si>
    <t xml:space="preserve"> AMGEN INC., ONE AMGEN CENTER DRIVE, THOUSAND OAKS, CALIFORNIA 91320-1799, U.S.A., THOUSAND OAKS, CALIFORNIA, US</t>
  </si>
  <si>
    <t xml:space="preserve">5. Preparaciones y sustancias farmacéuticas utilizadas en el tratamiento de enfermedades y trastornos hematológicos, autoinmunes, inflamatorios y respiratorios; preparaciones y sustancias farmacéuticas para el tratamiento de cáncer y enfermedades y trastornos cardiovasculares; preparaciones y sustancias farmacéuticas utilizadas para el tratamiento de enfermedades y trastornos de glóbulos y vasos sanguíneos; preparaciones y sustancias farmacéuticas para el tratamiento de enfermedades y trastornos oncológicos, y oftálmicos; preparaciones y sustancias farmacéuticas para el tratamiento de trastornos inflamatorios del sistema nervioso central; preparaciones y sustancias farmacéuticas utilizadas para el tratamiento de anemia hemolítica, trombocitopenia e insuficiencia renal.
</t>
  </si>
  <si>
    <t>VITAFEX</t>
  </si>
  <si>
    <t xml:space="preserve"> NATURAL MEDY DISTRIBUCIONES S.A.S., Calle 38 norte # 3 CN - 122, CALI, VALLE DEL CAUCA, CO</t>
  </si>
  <si>
    <t xml:space="preserve">5. Productos farmacéuticos; preparaciones para uso médico y veterinario; productos higiénicos y sanitarios para uso médico; alimentos y sustancias dietéticas para uso médico o veterinario; complementos alimenticios para personas o animales; desinfectantes.
</t>
  </si>
  <si>
    <t>K-RAN</t>
  </si>
  <si>
    <t xml:space="preserve"> SUMIKOL S.A.S, CR 7 NO. 56 33 OF 602, BOGOTÁ, D.C., CO</t>
  </si>
  <si>
    <t>SITARMET</t>
  </si>
  <si>
    <t xml:space="preserve"> DIABETRICS HEALTHCARE S.A.S, CALLE 80 No. 78 B 201, BARRANQUILLA, ATLÁNTICO, CO</t>
  </si>
  <si>
    <t xml:space="preserve">5. Productos farmacéuticos; preparaciones veterinarias; medicamentos para uso médico; medicamentos para uso veterinario; algodón para uso médico; desinfectantes para uso higiénico; productos para esterilizar; pañales para bebés; tampones para la menstruación; alimentos dietéticos para uso médico; alimentos para bebés; complementos nutricionales; bebidas dietéticas para uso médico; emplastos para uso médico; botiquines de primeros auxilios; artículos para apósitos; materiales para empastes dentales; materiales para improntas dentales; desinfectantes; productos para eliminar animales dañinos; insecticidas; fungicidas; herbicidas.
</t>
  </si>
  <si>
    <t>SEMATIDE</t>
  </si>
  <si>
    <t xml:space="preserve">Mega We care NAT-C ESTER </t>
  </si>
  <si>
    <t xml:space="preserve">5. Productos farmacéuticos y preparaciones médicas; Alimentos dietéticos y sustancias adaptadas para uso médico; Suplementos dietéticos para seres humanos; Medicamentos con fines médicos; Complemento alimenticio contiene vitaminas, minerales; Productos farmacéuticos y preparados médicos para estimular la función inmune, proteger contra los radicales libres y mantener la función de salud; Vitaminas Preparaciones para uso medicinal.
</t>
  </si>
  <si>
    <t>MSNAPETO</t>
  </si>
  <si>
    <t xml:space="preserve"> MSN LABORATORIES PRIVATE LIMITED, Plot No: C-24 Industrial Estate, Sanathnagar Hyderabad - Telangana, INDIA, HYDERABAD, ANDHRA PRADESH 500018, IN</t>
  </si>
  <si>
    <t xml:space="preserve">5. Drogas para uso médico; medicamentos; medicamentos para uso médico; medicamentos y agentes terapéuticos.
</t>
  </si>
  <si>
    <t>LMG</t>
  </si>
  <si>
    <t xml:space="preserve"> LMG BIO LLC, 7325 SW 152ND ST, PALMETTO, FLORIDA 33157, US</t>
  </si>
  <si>
    <t>ALLPET AMOR POR LAS MASCOTAS</t>
  </si>
  <si>
    <t>Valeria Escobar Sanchez, Calle 160 #72 -34, BOGOTÁ, D.C. 111111, CO</t>
  </si>
  <si>
    <t xml:space="preserve">5. Aditivos alimentarios medicinales para uso veterinario; alimentos complementarios para uso veterinario; alimentos dietéticos para uso veterinario; complementos alimenticios para animales de uso veterinario; complementos de uso veterinario para piensos; complementos nutricionales para uso veterinario; desinfectantes para uso veterinario; medicamentos para uso veterinario; preparaciones biológicas para uso veterinario; preparaciones bioquímicas para uso veterinario; preparaciones higiénicas para uso veterinario; preparaciones químicas para uso veterinario; preparaciones sanitarias para uso veterinario; suplementos alimenticios para animales de uso veterinario; ungüentos para uso veterinario; medicamentos fitoterapéuticos para el consumano animal; aditivos en forma de vitaminas y minerales para alimentos para animales de compañía; alimentos dietéticos medicinales para animales; alimentos medicinales para animales; alimentos y bebidas dietéticos para uso veterinario; complementos medicinales para alimentos destinados a los animales; complementos nutricionales para alimentos de animales; suplementos minerales para alimentos.
35. Servicios de tiendas mayoristas de artículos veterinarios; servicios de venta mayorista de preparaciones y artículos veterinarios; servicios de venta al por menor o al por mayor de medicamentos; servicios de distribución comercial al por mayor de alimentos; distribución de anuncios publicitarios y comerciales; distribución de folletos, material impreso y muestras con fines publicitarios; distribución de productos con fines publicitarios; distribución y difusión de material publicitario; promoción de los productos y servicios de terceros mediante la distribución de material publicitario por diversos medios; servicios de distribución comercial; servicios de registro de razas de animales; servicios de tiendas mayoristas de artículos de cama para animales; servicios de tiendas mayoristas de instrumentos higiénicos para animales; servicios de tiendas mayoristas de piensos para animales; servicios de tiendas mayoristas de preparaciones para el aseo de animales; servicios de tiendas mayoristas en línea de artículos de cama para animales; servicios de venta mayorista de instrumentos de belleza para animales; servicios de venta mayorista de instrumentos higiénicos para animales; coordinación y realización de ferias con fines comerciales o publicitarios; organización de eventos, exposiciones, ferias y espectáculos con fines comerciales, de promoción y publicitarios; organización de exposiciones y ferias con fines comerciales y publicitarios; organización de ferias comerciales; organización de ferias de muestras; organización de ferias de negocios; organización de ferias mercantiles; organización de ferias y de exposiciones con fines comerciales y publicitarios; servicios de venta al por menor o al por mayor de medicamentos veterinarios; asesoramiento de negocios en gestión empresarial; asesoramiento empresarial en relación con marketing estratégico; asesoramiento en organización de empresas; asistencia empresarial; compra de productos y servicios para otras empresas; consultoría de negocios en gestión empresarial; consultoría en marketing empresarial; gestión de empresas; gestión de proyectos empresariales; gestión de proyectos empresariales para terceros; gestión empresarial de empresas; gestión y administración de empresas; marketing empresarial.
</t>
  </si>
  <si>
    <t>CANNABIO</t>
  </si>
  <si>
    <t>COLECCION SUR SL</t>
  </si>
  <si>
    <t>KNOP LABORATORIOS S.A.</t>
  </si>
  <si>
    <t>PAULA ANDREA FRÍAS MARTÍNEZ, CONDOMINIO RUITOQUE LAGUITO CABAÑA 86, FLORIDABLANCA, SANTANDER, CO</t>
  </si>
  <si>
    <t xml:space="preserve">5. Productos farmacéuticos, complementos alimenticios para personas o animales; desinfectantes.
</t>
  </si>
  <si>
    <t xml:space="preserve">PROCAPS KETOVID </t>
  </si>
  <si>
    <t>VITATOR</t>
  </si>
  <si>
    <t>DIANA CORPORACION S.A.S.</t>
  </si>
  <si>
    <t>QUINDI</t>
  </si>
  <si>
    <t xml:space="preserve"> FARMEX S.A., CALLE DEAN VALDIVIA 148 PISO 7 - SAN ISIDRO, LIMA, DISTRITO DE SAN ISIDRO, LIMA, PE</t>
  </si>
  <si>
    <t xml:space="preserve">1. Productos químicos para la industria, la ciencia y la fotografía, así como para la agricultura, la horticultura y la silvicultura; resinas artificiales en bruto, materias plásticas en bruto; abonos para el suelo; composiciones extintoras; preparaciones para templar y soldar metales; productos químicos para conservar alimentos; materias curtientes; adhesivos (pegamentos) para la industria.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t>
  </si>
  <si>
    <t>NEXDIA</t>
  </si>
  <si>
    <t xml:space="preserve">5. Limitado a productos farmacéuticos para uso humano destinados al tratamiento del sistema nervioso central. Se excluyen expresamente hormonas femeninas y en particular productos destinados a ajustar el ciclo menstrual.
</t>
  </si>
  <si>
    <t>MARBOGAN</t>
  </si>
  <si>
    <t>LABORATORIOS PROVET S.A.S.</t>
  </si>
  <si>
    <t xml:space="preserve"> COMPAÑÍA CALIFORNIA S.A., CALLE 17 NO 34-64, BOGOTÁ, D.C., CO</t>
  </si>
  <si>
    <t xml:space="preserve">5. Productos farmacéuticos y preparaciones para uso veterinario; productos veterinarios; medicamentos para uso veterinario.
</t>
  </si>
  <si>
    <t>VEAUTY SENSE</t>
  </si>
  <si>
    <t xml:space="preserve"> SUPERTIENDAS CAÑAVERAL S.A.S., CALLE 18A 56 65 LOCAL 10, CALI, VALLE DEL CAUCA, CO</t>
  </si>
  <si>
    <t xml:space="preserve">3. Gel de baño; gel de lavanda; jabones antitranspirantes; jabones corporales no medicados; jabones cosméticos; jabones de baño; jabones de baño en forma líquida, sólida o de gel; jabones de ducha; jabones de tocador; jabones de tocador no medicinales; jabones desodorantes; jabones en forma líquida; jabones faciales; jabones líquidos; jabones líquidos no medicinales; jabones líquidos para el baño; jabones líquidos para las manos, el rostro y el cuerpo; jabones no medicados para el cuerpo; jabones no medicados para las manos; jabones no medicinales; jabones para el cuerpo; jabones para el cuidado del cuerpo; jabones para la ducha; jabones para la piel; jabones para las manos; jabones para uso personal; jabones perfumados; jabones*; pastillas de jabón; pastillas de jabón para el cuerpo; geles cosméticos; geles de baño; geles de baño no medicinales; geles de baño y de ducha; geles de ducha; geles de ducha y de baño; geles de lavanda; geles para el baño [no medicinales]; geles para el cuerpo [cosméticos]; geles para el cuerpo y la cara [cosméticos]; geles para la ducha; geles para uso cosmético; jabones líquidos para las manos y el rostro; líquidos para lavarse las manos no medicinales a base de jabón; champús en seco*; jabón en seco; champús en barritas sólidas; acondicionadores para la piel; acondicionadores para uso en el cabello; champús acondicionadores; champús y acondicionadores; productos cosméticos de baño y ducha; productos cosméticos para el baño y la ducha; productos cosméticos para el cuidado de la piel.
5. Geles antibacterianos; geles desinfectantes antibacterianos a base de alcohol para la piel; aerosoles antibacterianos; espráis antibacterianos; jabones antibacterianos; jabones antibacterianos para la piel; limpiadores faciales antibacterianos medicinales; productos antibacterianos para lavar las manos; jabones desinfectantes; toallitas desinfectantes; lociones antibacterianas para las manos; toallitas antibacterianas; toallitas impregnadas de lociones antibacterianas; toallitas impregnadas de preparaciones antibacterianas.
</t>
  </si>
  <si>
    <t>JMX NUTRITION</t>
  </si>
  <si>
    <t xml:space="preserve"> JIMEX PHARMA DE ALEMANIA S.A.S., CARRERA 66 #18A-05, CALI, VALLE DEL CAUCA, VALLE DEL CAUCA, CO</t>
  </si>
  <si>
    <t>ALLORA</t>
  </si>
  <si>
    <t>MONTANA</t>
  </si>
  <si>
    <t>SKIN HELP BY FAGRON</t>
  </si>
  <si>
    <t xml:space="preserve"> FAGRON COLOMBIA SAS, Calle 163 A 19A 88, BOGOTÁ, D.C., CO</t>
  </si>
  <si>
    <t>PICLORAM JEGO 240SL</t>
  </si>
  <si>
    <t xml:space="preserve"> JEGO CHEMICAL S.A.S., AUTOPISTA ANILLO VIAL, MEDITERRANE, LA TOSCANA, CASA 73 , FLORIDABLANCA, SANTANDER, CO</t>
  </si>
  <si>
    <t xml:space="preserve">5. Herbicidas para uso agrícola.
</t>
  </si>
  <si>
    <t>TRESSOR</t>
  </si>
  <si>
    <t>VARAN</t>
  </si>
  <si>
    <t xml:space="preserve"> VARAN FARMA S.A.S, KM 1,1 VIA COTA - SIBERIA (CALLE 80) CENTRO EMPRESARIAL LOS ROBLES, EDF. PANASONIC PISO 2 , COTA, CUNDINAMARCA 250017, CO</t>
  </si>
  <si>
    <t xml:space="preserve">5. Agentes de liberación de medicamentos; baños medicamentosos para uso terapéutico; cremas labiales medicamentosas; cremas medicamentosas; cremas medicamentosas para hidratar la piel; cremas medicamentosas para la hidratación de la piel; cremas medicamentosas para la piel; cremas medicamentosas para la protección de la piel; cremas medicamentosas protectoras; cápsulas para medicamentos; eritropoyetina humana recombinante en cuanto medicamento biofarmacéutico; gasas impregnadas de cremas medicamentosas; jarabes en cuanto medicamentos; lociones y cremas medicamentosas para el cuerpo, piel, cara y manos; lociones y cremas medicamentosas para el cuerpo, piel, rostro y manos; líquidos medicamentosos para cigarrillos electrónicos [e-liquid]; líquidos medicamentosos para cigarrillos electrónicos [e-liquid] que contienen vitaminas; medicamento para la tos; medicamentos; medicamentos a base de hierbas; medicamentos analgésicos; medicamentos antimicóticos; medicamentos antitranspirantes; medicamentos antitumorales; medicamentos autónomos para uso médico; medicamentos bioquímicos; medicamentos contra el acné; medicamentos contra el mareo; medicamentos contra la alergia; medicamentos contra la diarrea; medicamentos crudos; medicamentos de prevención contra los nematodos parásitos de animales de compañía; medicamentos de prevención contra los nematodos parásitos de mascotas; medicamentos de venta libre; medicamentos en forma de comprimidos; medicamentos en forma de pastillas; medicamentos en forma de píldoras; medicamentos en forma de tabletas; medicamentos fitoterapéuticos para el consumano animal; medicamentos fitoterapéuticos para el consumo humano; medicamentos herbarios; medicamentos homeopáticos; medicamentos líquidos; medicamentos para ajustar el ciclo menstrual; medicamentos para aliviar las alergias; medicamentos para el estreñimiento; medicamentos para el tratamiento de enfermedades cardiovasculares y cerebrovasculares; medicamentos para el tratamiento de enfermedades gastrointestinales; medicamentos para el tratamiento de quemaduras; medicamentos para el tratamiento de trastornos intestinales; medicamentos para el tratamiento del mareo; medicamentos para la constipación [estreñimiento]; medicamentos para regular el ciclo menstrual; medicamentos para uso humano; medicamentos para uso médico; medicamentos para uso odontológico; medicamentos para uso veterinario; medicamentos sin prescripción médica; medicamentos sin receta; medicamentos sueroterapéuticos; medicamentos y agentes terapéuticos; pomadas labiales medicamentosas; preparaciones medicamentosas para el baño de pies; preparaciones medicamentosas para el cuidado de los labios; siropes en cunato medicamentos; sulfamidas [medicamentos]; sulfonamidas en cuanto medicamentos; toallitas impregnadas de cremas medicamentosas; toallitas o gasas impregnadas de cremas medicamentosas; tónicos reconstituyentes [medicamentos].
</t>
  </si>
  <si>
    <t>HIGADOSAN</t>
  </si>
  <si>
    <t>Helmunt Alexander Hernandez Barrera, carrera 66 4d 83, BOGOTÁ, D.C. 000000, CO</t>
  </si>
  <si>
    <t xml:space="preserve">5. Suplementos dietéticos a base de hierbas.
</t>
  </si>
  <si>
    <t>ALPHARM POMADA</t>
  </si>
  <si>
    <t>Laboratorios Zoo S.A.S.</t>
  </si>
  <si>
    <t xml:space="preserve"> ONLYPHARM S.A.S., CALLE 24 NO. 24-51, BOGOTÁ, D.C., CO</t>
  </si>
  <si>
    <t xml:space="preserve">5. Producto farmacéutico veterinario, semisólido, crema, gel, polvo, líquido. Antiflogístico y analgésico. Coadyuvante en el tratamiento de procesos inflamatorios. También como Cicatrizante, secante, desinfectante y repelente de insectos.
</t>
  </si>
  <si>
    <t>Suralan</t>
  </si>
  <si>
    <t>DKT Colombia S.A.S.</t>
  </si>
  <si>
    <t xml:space="preserve"> AGROVET MARKET S.A., AV. CANADA 3798-3798, SAN LUIS-LIMA, SAN LUIS, LIMA, PE</t>
  </si>
  <si>
    <t>TERRAPHARM</t>
  </si>
  <si>
    <t xml:space="preserve">5. Antibiótico para el tratamiento de enfermedades infecciosas producidas por gérmenes sensibles a las tetraciclinas.
</t>
  </si>
  <si>
    <t>URSOX</t>
  </si>
  <si>
    <t xml:space="preserve"> SALUS PHARMA LABS SAS, CALLE 24D NO 44A - 39, BOGOTÁ, D.C., CO</t>
  </si>
  <si>
    <t>ISOBLEND</t>
  </si>
  <si>
    <t>ANDREA VALENTINA BECERRA CANTOR, Calle 150 # 7G - 21 , BOGOTÁ, D.C., CO</t>
  </si>
  <si>
    <t xml:space="preserve">5. Suplementos nutricionales alimenticios y de deporte, alimentos y sustancias dietéticas para uso médico o veterinario, alimentos para bebés, complementos alimenticios para personas o animales, Productos farmacéuticos, preparaciones para uso médico y veterinario; productos higiénicos y sanitarios para uso médico.
30. Harinas y preparaciones a base de cereales, preparaciones a base de harinas, preparaciones a base de avena, barras alimenticias, barritas energéticas, productos de pastelería y confitería, helados.
</t>
  </si>
  <si>
    <t>WHEYBLEND SHAKE</t>
  </si>
  <si>
    <t>EAAS MIX RECOVERY BLEND</t>
  </si>
  <si>
    <t>INMUNOREL</t>
  </si>
  <si>
    <t>Laboratorios Calier de los Andes S.A.S.</t>
  </si>
  <si>
    <t xml:space="preserve"> ASPIGEN INC, 150 SE 2ND AVE SUITE 404, FL 33131, MIAMI, FLORIDA, US</t>
  </si>
  <si>
    <t xml:space="preserve">5. Producto farmacéutico de uso humano para tratamiento de inmunodeficiencias en enfermedades autoinmunes.
</t>
  </si>
  <si>
    <t>EQQUIVERTEL</t>
  </si>
  <si>
    <t xml:space="preserve"> AGROQUIMICOS ARROCEROS DE COLOMBIA S.A. AGROZ S.A., Km 1 Vía Espinal - Ibague, ESPINAL, TOLIMA, CO</t>
  </si>
  <si>
    <t>Green Fit8</t>
  </si>
  <si>
    <t>yulieth gamarra henao, calle 5 sur 29d 55, crra 32 2bsur 87, MEDELLIN, ANTIOQUIA +57, CO</t>
  </si>
  <si>
    <t xml:space="preserve">5. Alimentos y sustancias dietéticas para uso médico o veterinario, complementos alimenticios para personas.
</t>
  </si>
  <si>
    <t>MUSSYL</t>
  </si>
  <si>
    <t>MARTHA LUZ LIÑAN PACHECO, calle 143 #7-31 ofn 508, BOGOTÁ, D.C. 110111, CO</t>
  </si>
  <si>
    <t xml:space="preserve">5. Jarabes antitusígenos; jarabes contra la tos; jarabes en cuanto medicamentos; jarabes para la tos; jarabes para uso farmacéutico; antioxidantes [complementos dietéticos]; bacterias probióticas [complementos alimenticios]; bebidas nutricionales en cuanto complementos alimenticios; bebidas utilizadas como complementos dietéticos; complementos a base de hierbas; complementos alimenticios; complementos alimenticios a base de aminoácidos; complementos alimenticios a base de caseína; complementos alimenticios a base de chlorella; complementos alimenticios a base de cáñamo; complementos alimenticios a base de enzimas; complementos alimenticios a base de germen de trigo; complementos alimenticios a base de glucosa; complementos alimenticios a base de isoflavona de soja; complementos alimenticios a base de jalea real; complementos alimenticios a base de lecitina; complementos alimenticios a base de levadura; complementos alimenticios a base de levadura de cerveza; complementos alimenticios a base de linaza; complementos alimenticios a base de maca; complementos alimenticios a base de minerales; complementos alimenticios a base de oligoelementos; complementos alimenticios a base de polen; complementos alimenticios a base de polen de pino; complementos alimenticios a base de propóleos; suplementos alimenticios a base de glucosa; malta para uso farmacéutico; pastillas de miel de hierbas para la garganta.
</t>
  </si>
  <si>
    <t>BICAMET XR</t>
  </si>
  <si>
    <t>DISTRIBUIDORA SICMAFARMA S.A.S</t>
  </si>
  <si>
    <t xml:space="preserve">5. Productos farmacéuticos; preparaciones veterinarias; medicamentos para uso médico; medicamentos para uso veterinario; algodón para uso médico; desinfectantes para uso higiénico; productos para esterilizar; pañales para bebés; tampones para la menstruación; Productos de protección menstrual para la higiene íntima femenina, a saber: toallas sanitarias, protectores diarios; alimentos dietéticos para uso médico; alimentos para bebés; complementos nutricionales; bebidas dietéticas para uso médico; emplastos para uso médico; botiquines de primeros auxilios; artículos para apósitos; materiales para empastes dentales; materiales para improntas dentales; desinfectantes; productos para eliminar animales dañinos; insecticidas; fungicidas; herbicidas.
</t>
  </si>
  <si>
    <t>Sitared</t>
  </si>
  <si>
    <t>NERTA</t>
  </si>
  <si>
    <t xml:space="preserve"> LAPISA S.A. DE C.V., CARRETERA LA PIEDAD - GUADALAJARA KM. 5.5 CAMELINAS, MICHOACÁN C.P. 59375 MÉXICO, GUADALAJARA, JALISCO, MX</t>
  </si>
  <si>
    <t xml:space="preserve">5. Preparaciones para destruir animales dañinos; insecticidas, herbicidas, bactericidas, fungicidas, rodenticidas.
</t>
  </si>
  <si>
    <t>Klausii</t>
  </si>
  <si>
    <t xml:space="preserve">TRI-ATTACK </t>
  </si>
  <si>
    <t xml:space="preserve">5. Productos veterinarios (antimicrobianos) a base de amoxicilina.
</t>
  </si>
  <si>
    <t>COLNATURAL</t>
  </si>
  <si>
    <t>Laboratorios Ordesa, S.L.</t>
  </si>
  <si>
    <t>Katerine Andrea  Garcia Julio, Cll 19 Este #14-56, VALLEDUPAR, CESAR 200001, CO</t>
  </si>
  <si>
    <t xml:space="preserve">5. Complementos y preparaciones dietéticas; complementos y preparaciones nutricionales; preparaciones a base de hierbas para uso médico; preparaciones a base de minerales para uso médico; preparaciones alimenticias para bebés y lactantes; preparaciones dietéticas para uso médico; preparaciones enzimáticas para uso médico; preparaciones farmacológicas para cuidar la piel; preparaciones farmacéuticas; preparaciones farmacéuticas para el tratamiento de la diabetes; preparaciones herbarias para uso médico; preparaciones medicinales; preparaciones medicinales para adelgazar; preparaciones multivitamínicas; preparaciones que contienen vitamina a; preparaciones que contienen vitamina b; preparaciones que contienen vitamina c; preparaciones que contienen vitamina d; preparaciones y suplementos para la salud; preparaciones y sustancias medicinales; preparaciones y sustancias vitamínicas; suplementos y preparaciones dietéticas; suplementos y preparaciones nutricionales; suplementos alimenticios.
</t>
  </si>
  <si>
    <t>ADRENOLYT</t>
  </si>
  <si>
    <t>EELHOE</t>
  </si>
  <si>
    <t>DUVAN ALEXANDER GIRALDO GÓMEZ, CARRERA 53 # 45-50 PISO 11. BODEGA 1109, MEDELLIN, ANTIOQUIA, CO</t>
  </si>
  <si>
    <t xml:space="preserve">3. Preparaciones para blanquear y otras sustancias para lavar la ropa; preparaciones para limpiar, pulir, desengrasar y raspar; jabones no medicinales; productos de perfumería, aceites esenciales, cosméticos no medicinales, lociones capilares no medicinales; cremas blanqueadoras para los dientes; geles de limpieza para los dientes; geles para la limpieza de los dientes; pasta de dientes fácil de ingerir; pastas de dientes no medicinales; pastas de dientes*; pastas para blanquear los dientes; preparados blanqueadores de dientes.
5. Productos farmacéuticos, preparaciones para uso médico y veterinario; productos higiénicos y sanitarios para uso médico; preparaciones dermocosméticas.
</t>
  </si>
  <si>
    <t>ORGAN 100%</t>
  </si>
  <si>
    <t xml:space="preserve"> 3 Q S.A.S., Calle 1H No. 30 - 21, BOGOTÁ, D.C., CO</t>
  </si>
  <si>
    <t xml:space="preserve">5. Complementos de vitaminas para productos alimenticios de consumo humano.
</t>
  </si>
  <si>
    <t>Dermopet</t>
  </si>
  <si>
    <t>Nicolas  Garrido Achury, Cra 21 #70A-39, BOGOTÁ, D.C., CO</t>
  </si>
  <si>
    <t>Iliren</t>
  </si>
  <si>
    <t>Chichican</t>
  </si>
  <si>
    <t>SUMMIT AGRO</t>
  </si>
  <si>
    <t xml:space="preserve"> SUMMIT AGRO COLOMBIA S.A.S., CARRERA 7 # 127-48, OFICINA 808, BOGOTÁ, D.C., CO</t>
  </si>
  <si>
    <t>1, 2, 5, 17, 29, 31, 35, 39</t>
  </si>
  <si>
    <t xml:space="preserve">1. Productos químicos para uso industrial; productos químicos para uso agrícola, hortícola y forestal, excepto fungicidas, herbicidas, insecticidas y parasiticidas; productos químicos para uso hortícola, excepto fungicidas, herbicidas, insecticidas y parasiticidas; productos químicos para la silvicultura, excepto fungicidas, herbicidas, insecticidas y parasiticidas; aditivos químicos para insecticidas; aditivos químicos para fungicidas; feromonas, que no sean para uso médico; reguladores de crecimiento vegetal para uso agrícola; reguladores del crecimiento vegetal para uso agrícola; fertilizantes.
2. Resinas naturales en bruto.
5. Preparaciones farmacéuticas; preparaciones veterinarias; antiparasitarios; adyuvantes para uso médico; preparaciones químicas de uso sanitario; insecticidas; germicidas; fungicidas; repelentes de insectos; herbicidas; antisépticos; suplementos dietéticos; pañales para animales de compañía.
17. Resinas sintéticas semielaboradas para la fabricación de micropartículas destinadas a la industria agroindustrial; resinas sintéticas semielaboradas para la fabricación de nanopartículas destinadas a la industria agroindustrial.
29. Productos agrícolas, acuícolas, hortícolas y silvícolas procesados.
31. Productos agrícolas; productos agrícolas, acuícolas, hortícolas y forestales en bruto y sin procesar; granos y semillas en bruto o sin procesar; productos alimenticios y bebidas para animales.
35. Servicios de oficina; trabajos de oficina.
39. Almacenamiento de productos agrícolas.
</t>
  </si>
  <si>
    <t>ACTELTO</t>
  </si>
  <si>
    <t xml:space="preserve"> ACTIFARMA S.A., CL 147 19 50 OF 39, BOGOTÁ, D.C., CO</t>
  </si>
  <si>
    <t xml:space="preserve">5. PRODUCTOS FARMACEUTICOS; PREPARACIONES PARA USO MEDICO; PRODUCTOS HIGIENICOS Y SANITARIOS PARA USO MEDICO; MEDICAMENTOS PARA USO MEDICO; PASTILLAS PARA USO FARMACEUTICO; PREPARACIONES FARMACEUTICAS; PREPARACIONES QUIMICAS PARA USO FARMACEUTICO; PREPARACIONES QUIMICAS PARA USO MEDICO; PREPARACIONES QUIMICO - FARMACEUTICAS; MEDICAMENTO DE USO HUMANO PARA LA PREVENCION DEL ACCIDENTE CEREBRO VASCULAR Y DE EMBOLISMO SISTEMICO EN PACIENTES CON FIBRILACION AURICULAR NO VALVULAR CON FACTORES DE RIESGO EN EL TRATAMIENTO DEL TROMBOEMBOLISMO VENOSO PROFUNDO Y EN LA PREVENCION DEL TROMBOEMBOLISMO VENOSO PROFUNDO RECURRENTE Y EN EMBOLISMO PULMONAR; MEDICAMENTO DE USO HUMANO EN LA PREVENCIÓN DE LA TROMBOEMBOLIA VENOSA EN PACIENTES SOMETIDOS A UNA INTERVENCION QUIRURGICA ORTOPEDICA MAYOR DE LAS EXTREMIDADES INFERIORES.
</t>
  </si>
  <si>
    <t>CLARIXA</t>
  </si>
  <si>
    <t>NOVARTIS AG.</t>
  </si>
  <si>
    <t xml:space="preserve"> XINETIX PHARMA S A S, CRA 7 A BIS NO. 123 - 52 OF 501, BOGOTÁ, D.C., CO</t>
  </si>
  <si>
    <t xml:space="preserve">5. PRODUCTOS FARMACEUTICOS; PREPARACIONES PARA USO MEDICO; MEDICAMENTOS PARA LA PREVENCION Y EL TRATAMIENTO DE INFECCIONES; MEDICAMENTOS ANTIBIOTICOS; MEDICAMENTOS ANTIVIRALES; MEDICAMENTOS PARA USO MEDICO; PASTILLAS PARA USO FARMACEUTICO; PREPARACIONES BACTERIANAS PARA USO MEDICO; PREPARACIONES BIOLOGICAS PARA USO MEDICO; PREPARACIONES DE MICROORGANISMOS PARA USO MEDICO; PREPARACIONES FARMACEUTICAS; PREPARACIONES QUIMICAS PARA USO FARMACEUTICO; PREPARACIONES QUIMICAS PARA USO MEDICO; PREPARACIONES QUIMICO - FARMACEUTICAS; PRODUCTOS PARA ELIMINAR PARASITOS; REMEDIOS PARA USO MEDICO; PREPARACIONES FARMACEUTICAS EN PRESENTACION DE JERINGAS PARA EL TRATAMIENTO DE ENFERMEDADES; MEDICAMENTO DE USO HUMANO PARA EL TRATAMIENTO DE INFECCIONES DEBIDAS A ORGANISMOS SUSCEPTIBLES; MEDICAMENTO DE USO HUMANO PARA EL TRATAMIENTO DE INFECCIONES DEL TRACTO RESPIRATORIO INFERIOR; MEDICAMENTO DE USO HUMANO PARA EL TRATAMIENTO DE LA BRONQUITIS; MEDICAMENTO DE USO HUMANO PARA EL TRATAMIENTO DE LA NEUMONIA; MEDICAMENTO DE USO HUMANO PARA EL TRATAMIENTO DE INFECCIONES DEL TRACTO RESPIRATORIO SUPERIOR; MEDICAMENTO DE USO HUMANO PARA EL TRATAMIENTO DE LA FARINGUITIS; MEDICAMENTO DE USO HUMANO PARA EL TRATAMIENTO DE LA SINUSITIS; MEDICAMENTO DE USO HUMANO PARA EL TRATAMIENTO DE LA FOLICULITIS; MEDICAMENTO DE USO HUMANO PARA EL TRATAMIENTO DE LA CELULITIS; MEDICAMENTO DE USO HUMANO PARA EL TRATAMIENTO DE LA ERISIPELA; MEDICAMENTO DE USO HUMANO PARA EL TRATAMIENTO DE LAS INFECCIONES MICROBACTERIANAS DESEMINADAS O LOCALIZADAS DEBIDAS A MICOBACTERIUM AVIUM O MICOBACTERIUMINTRECELLULARE; MEDICAMENTO DE USO HUMANO PARA EL TRATAMIENTO DE INFECCIONES LOCALIZADAS DEBIDAS A MYCOBACTERIUM CHELONAE O MYCOBACTERIUM FORTUITUM O MYCOBACTERIUM KANSAII.
</t>
  </si>
  <si>
    <t>ADBIOTICS</t>
  </si>
  <si>
    <t xml:space="preserve">5. Alimentos y suplementos alimenticios sin gluten, todos adecuados a fines médicos; antioxidantes utilizados como suplementos alimenticios; bacterias probióticas [suplementos alimenticios]; bacterias probióticas en cuanto suplementos alimenticios; bebidas de leche malteada en cuanto suplementos alimenticios para bebés; bebidas de leche malteada en cuanto suplementos alimenticios para minusválidos; bebidas nutricionales en cuanto suplementos alimenticios;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proteínas de suero de leche [suplementos alimenticios]; proteínas de suero de leche en cuanto suplementos alimenticios; suplementos alimenticios;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probióticos.
</t>
  </si>
  <si>
    <t>IMPROMUNEMX</t>
  </si>
  <si>
    <t xml:space="preserve"> BIOIBERICA, S.A.U., c. Antic Camí de Tordera, 109-119, PALAFOLLS, BARCELONA 08389 , ES</t>
  </si>
  <si>
    <t xml:space="preserve">5. Preparaciones para uso veterinario; complementos nutricionales y sustancias dietéticas para uso veterinario; medicamentos para uso veterinario.
</t>
  </si>
  <si>
    <t>Ansugeld</t>
  </si>
  <si>
    <t xml:space="preserve">5. Cremas medicamentosas para la piel.
</t>
  </si>
  <si>
    <t>3iMarketing ¡NOPiK!</t>
  </si>
  <si>
    <t>andres felipe  gomez sanchez, cr2 #44-27 bis , IBAGUE, TOLIMA 730001, CO</t>
  </si>
  <si>
    <t>NUTRIDELI MIX</t>
  </si>
  <si>
    <t xml:space="preserve"> NATURLAB S.A.S., Carrera 72 J Bis 36 54 Sur, BOGOTÁ, D.C., CO</t>
  </si>
  <si>
    <t xml:space="preserve">5. Suplementos nutricionales complementos nutricionales; complementos vitamínicos; complementos alimenticios de vitaminas y minerales; bebidas utilizadas como complementos dietéticos; mezclas para bebidas utilizadas como sustitutos de las comidas y complementos dietéticos para uso médico, bebida nutricional en polvo con proteína, omega, fibra, vitaminas y minerales; alimento nutricional en polvo con proteína, omega, fibra, vitaminas y minerales; mezcla nutricional en polvo con proteína, omega, fibra, vitaminas y minerales; mezcla en polvo con proteína, omega, fibra, vitaminas y minerales para preparar bebida.
</t>
  </si>
  <si>
    <t>TIOMIDOL</t>
  </si>
  <si>
    <t>BEIERSDORF AG</t>
  </si>
  <si>
    <t xml:space="preserve"> ANGLO PHARMA  S.A., CRA 24 NO.76-35, BOGOTÁ, D.C., CO</t>
  </si>
  <si>
    <t>UNIFEMME NOVADOXINA</t>
  </si>
  <si>
    <t xml:space="preserve">5. Productos farmacéuticos para uso humano para el tratamiento del hipotiroidismo.
</t>
  </si>
  <si>
    <t>PROGLYGOR</t>
  </si>
  <si>
    <t xml:space="preserve"> GORAM LABORATORIOS S.A.S, CALLE 101 # 70-38, BOGOTÁ, D.C., CO</t>
  </si>
  <si>
    <t>YOU’RE NATURAL</t>
  </si>
  <si>
    <t>YULIANA MARIA TORRE GELVIZ, Avenida 40 # 16B - 159 Local 54 CC Villacentro, VILLAVICENCIO, META, CO</t>
  </si>
  <si>
    <t xml:space="preserve">5. Productos farmacéuticos, preparaciones para uso médico y veterinario; productos higiénicos y sanitarios para uso médico; alimentos y sustancias dietéticas para uso médico o veterinario, alimentos para bebés; complementos alimenticios, suplementos alimenticios.
</t>
  </si>
  <si>
    <t>EKOSEPSIA</t>
  </si>
  <si>
    <t xml:space="preserve"> SOSTELI GROUP S.A.S., FINCA EL SAUZAL, VEREDA LOS SALADOS, EL RETIRO, ANTIOQUIA, CO</t>
  </si>
  <si>
    <t xml:space="preserve">5. Desinfectantes industriales excluyendo expresamente los desinfectantes para uso higiénico y los jabones desinfectantes.
</t>
  </si>
  <si>
    <t>MAMA-LINA</t>
  </si>
  <si>
    <t xml:space="preserve">3. Cosméticos; cosméticos no medicinales; jabones cosméticos; jabones de tocador no medicinales; jabones no medicinales; preparaciones de higiene en cuanto productos de tocador; lociones capilares no medicinales; productos de perfumería, aceites esenciales; dentífricos no medicinales.
5. Productos farmacéuticos. preparaciones farmacéuticas. Medicamentos . Suplementos nutricionales / complementos nutricionales. Alimentos y sustancias dietéticas. Suplementos alimenticios para personas. Suplementos dietarios. Alimentos dietéticos para uso médico. Alimentos para bebés. Sustancias dietéticas para uso médico. Preparaciones alimenticias. Preparaciones de vitaminas. Preparaciones nutracéuticas para uso terapéutico o médico.
</t>
  </si>
  <si>
    <t>Vecheck</t>
  </si>
  <si>
    <t>Guangzhou Decheng Biotechnology Co., LTD</t>
  </si>
  <si>
    <t xml:space="preserve"> BIONOTE, INC., 22, Samsung 1-ro 4-gil, HWASEONG-SI, GYEONGGI-DO, KR</t>
  </si>
  <si>
    <t xml:space="preserve">5. Preparaciones para pruebas de embarazo de uso doméstico; reparaciones para diagnosticar tuberculosis; vacunas para uso veterinario; reactivos de diagnóstico para enfermedades de inmunización; vacunas; adyuvantes para vacunas; caldos de cultivo para uso bacteriológico; preparaciones y sustancias veterinarias; reactivos para pruebas genéticas veterinarias; anticuerpos para uso veterinario; reactivos químicos para uso veterinario; preparaciones farmacéuticas y veterinarias; reactivos para uso médico; reactivos de diagnóstico para uso médico o veterinario; preparaciones biológicas para uso médico o veterinario; fermentos para uso médico o veterinario; reactivos y medios para diagnóstico médico y veterinario; drogas para uso médico; reactivos para diagnóstico clínico.
</t>
  </si>
  <si>
    <t xml:space="preserve">ZYKADIA </t>
  </si>
  <si>
    <t xml:space="preserve">5. Preparaciones farmacéuticas para uso en oncología y hematología.
</t>
  </si>
  <si>
    <t>BASIC FOODING MILKO</t>
  </si>
  <si>
    <t>KRAFT FOODS SCHWEIZ HOLDING GMBH</t>
  </si>
  <si>
    <t>Juan Esteban Caviedes, CARRERA 15 #7N-11, ARMENIA, QUINDIO 63000, CO</t>
  </si>
  <si>
    <t>5, 30, 31, 32</t>
  </si>
  <si>
    <t xml:space="preserve">5. Complementos alimenticios en polvo a base de proteinas; suplementos alimenticios en polvo a base de proteinas; suplementos alimenticios en polvo a base de proteinas.
30. Alimentos para picar a base de granola; barritas a base de granola; barritas de cereales probióticos a base de granola; barritas de granola; granola; almendras recubiertas de chocolate; barras de chocolate; bebidas a base de chocolate que contienen leche; frutos secos recubiertos de chocolate; helados cremosos no lácteos; helados no lácteos; harina de frutos secos; pastas para untar a base de chocolate con frutos secos; salsas que contienen frutos secos; galletas [bizcochos]; galletas [panecillos]; galletas con pepitas de chocolate; galletas de almendras; galletas de arroz; galletas de avena; galletas de cereales; galletas de frutas; galletas saladas (crackers) de yuca; galletas saladas (crackers) sin gluten; galletas sin gluten; bases de empanadas; empanadas; empanadas de camarones; empanadas de carne; empanadas de cerdo; empanadas de pollo; masa para panqueque; pan de ajo; pan de arroz; pan de avena; pan de frutas; pan de hierbas; pan de jengibre; pan de quinua; pan integral; pan sin gluten; panecillos sin gluten; tostones [pan frito]; wraps de pan; aromatizantes de coco para alimentos o bebidas, que no sean aceites esenciales; aromatizantes de coco, que no sean aceites esenciales, para alimentos o bebidas; harina de coco para la alimentación humana; rocas de coco; almendras bañadas en chocolate; pasta de almendras; productos de confitería a base de almendras; productos de pastelería a base de almendras; bizcochos de chocolate y nueces; galletas de nueces de pecán; cápsulas con infusiones de hierbas; infusiones de hierbas; infusiones de hierbas que no sean para uso médico; preparaciones aromáticas para infusiones no medicinales; té para infusiones.
31. Frutas, verduras, hortalizas y legumbres, frutos secos y semillas en cuanto productos frescos y sin procesar; frutas, verduras, hortalizas y legumbres, frutos secos y semillas frescas y sin procesar; frutos secos no procesados; frutos secos sin procesar; legumbres y frutos secos preparado para la alimentación animal; galletas para animales; cocos; cocos frescos; almendras [frutos]; pistachos frescos; nueces de brasil frescas; nueces frescas; pescado, marisco y moluscos frescos.
32. Agua de coco; agua de coco [bebidas]; bebidas a base de coco; bebidas de agua de coco; jugo de coco; zumo de coco; zumo de coco [bebidas].
</t>
  </si>
  <si>
    <t>IMGRAFT BONE GRAFT.</t>
  </si>
  <si>
    <t>Santiago Rojas Benavides, Calle 134D 46-36, BOGOTÁ, D.C. 111111, CO</t>
  </si>
  <si>
    <t xml:space="preserve">5. Implantes biodegradables para uso en la regeneración tisular guiada; implantes biológicos formados por tejidos conjuntivos humanos o animales; implantes quirúrgicos compuestos de tejidos vivos; materiales de implantes dentales.
10. Apoyos de implantes para uso dental; implantes [prótesis] para cirugía dental; implantes [prótesis] para cirugía ósea; implantes [prótesis] para uso en cirugía de mandíbula; implantes [prótesis] para uso en cirugía facial; implantes [prótesis] para uso en cirugía maxilar; implantes [prótesis] para uso en cirugía oral; implantes [prótesis] para uso en el cuerpo; implantes [prótesis] para uso en odontología; implantes protésicos; implantes quirúrgicos compuestos de materiales artificiales para uso en la regeneración tisular guiada.
</t>
  </si>
  <si>
    <t>9R LAVETEC</t>
  </si>
  <si>
    <t xml:space="preserve"> LAVETEC CIA. LTDA., Avenida Manuel Córdova Galarza Km20, vía a CALACALÍ – PICHINCHA, QUITO, QUITO, EC</t>
  </si>
  <si>
    <t xml:space="preserve">5. PREPARACIONES BIOLÓGICAS PARA USO VETERINARIO Y VACUNAS PARA LA AVICULTURA.
</t>
  </si>
  <si>
    <t>LAVETEC APOYANDO TU INVERSIÓN</t>
  </si>
  <si>
    <t xml:space="preserve">5. PRODUCTOS FARMACÉUTICOS, PREPARACIONES PARA USO MÉDICO Y VETERINARIO; PRODUCTOS HIGIÉNICOS Y SANITARIOS PARA USO MÉDICO; ALIMENTOS Y SUSTANCIAS DIETÉTICAS PARA USO MÉDICO VETERINARIO, SUPLEMENTOS ALIMENTICIOS PARA ANIMALES; EMPLASTOS, MATERIAL PARA APÓSITOS; MATERIAL PARA EMPASTES E IMPRESIONES DENTALES; DESINFECTANTES; PRODUCTOS PARA ELIMINAR ANIMALES DAÑINOS; FUNGICIDAS, HERBICIDAS. PREPARACIONES BIOLÓGICAS Y VACUNAS PARA USO VETERINARIO. HORMONAS, TÓNICOS RECONSTITUYENTES, ANTIBIÓTICOS, ANTINFLAMATORIOS, DESPARASITANTES INTERNOS Y EXTERNOS, MULTIVITAMÍNICOS, SUEROS, ANESTESICOS.
</t>
  </si>
  <si>
    <t>SANNOS</t>
  </si>
  <si>
    <t xml:space="preserve">NO </t>
  </si>
  <si>
    <t xml:space="preserve"> SUPLEMENTOS ALIMENTICIOS DE COLOMBIA S.A.S, CALLE 25 SUR N°. 42A - 5, ENVIGADO, ANTIOQUIA, CO</t>
  </si>
  <si>
    <t xml:space="preserve">5. Alimentos y sustancias dietéticas para uso médico o veterinario, alimentos para bebés; suplementos alimenticios para personas o animales.
30. Edulcorantes naturales; Harinas y preparaciones a base de cereales; azúcar; miel; jarabe de melaza; Alimentos enriquecidos comprendidos en esta clase.
</t>
  </si>
  <si>
    <t>VITA SANNA</t>
  </si>
  <si>
    <t xml:space="preserve">5. Alimentos y sustancias dietéticas para uso médico o veterinario, alimentos para bebés; suplementos alimenticios para personas o animales.
30. Edulcorantes naturales. Harinas y preparaciones a base de cereales; azúcar, miel, jarabe de melaza; alimentos enriquecidos comprendidos en esta clase.
</t>
  </si>
  <si>
    <t>ELYVERSE By Ely Rodas</t>
  </si>
  <si>
    <t xml:space="preserve"> SOCIEDAD DERMALUXXOR SAS, QUINTA AVE # 6A-19 OF 206 CENTRO MEDICO BOCAGRANDE BARRIO BOCAGRANDE, CARTAGENA, BOLIVAR, CO</t>
  </si>
  <si>
    <t>3, 5, 25</t>
  </si>
  <si>
    <t xml:space="preserve">3. Cosméticos.
5. Suplementos alimenticios; suplementos dietéticos.
25. Ropa de deporte; ropa de mujer; ropa informal; ropa interior; ropa interior de mujer; ropa interior femenina; ropa*.
</t>
  </si>
  <si>
    <t>TIOBAC</t>
  </si>
  <si>
    <t xml:space="preserve"> VICAR FARMACEUTICA S.A., Calle 17A No 68-82, BOGOTÁ, D.C., CO</t>
  </si>
  <si>
    <t xml:space="preserve">5. Productos farmacéuticos para uso veterinario y humano, preparaciones y sustancias para uso veterinario y humano; medicamentos para uso veterinario y humano, alimentos y sustancias dietéticas para uso veterinario y humano, suplementos alimenticios para uso de animales y uso humano.
</t>
  </si>
  <si>
    <t>NUTRADOSE WELLNESS</t>
  </si>
  <si>
    <t>C.I. NUTREO S.A.S.</t>
  </si>
  <si>
    <t xml:space="preserve"> NUTRADOSE LABS LLC, 3811 NW 2ND Av, , MIAMI, FLORIDA 33127, US</t>
  </si>
  <si>
    <t xml:space="preserve">5. Productos Nutraceúticos.
</t>
  </si>
  <si>
    <t>TRIBIOL - Th05</t>
  </si>
  <si>
    <t xml:space="preserve"> LABORATORIO PRODUCCIÓN DE ENTOMOPATÓGENOS BIOPROTECCION S.A.S., Zona Industrial Juanchito Terraza 10 Bodega 3, MANIZALES, CALDAS, CO</t>
  </si>
  <si>
    <t xml:space="preserve">5. PRODUCTOS PARA ELIMINAR ANIMALES DAÑINOS; INSECTICIDAS BIOLÓGICOS, FUNGICIDAS BIOLÓGICOS Y HERBICIDAS BIOLÓGICOS PARA USO AGRÍCOLA.
</t>
  </si>
  <si>
    <t>BIOBACT - COMPLEX</t>
  </si>
  <si>
    <t>AMOX C BZ</t>
  </si>
  <si>
    <t xml:space="preserve"> BIO ZOO S.A. DE C.V., CARRETERA A SANTA ANA TEPETITLAN 2200, COL. SANTA ANA TEPETITLAN , ZAPOPAN, JALISCO C.P. 45230, MX</t>
  </si>
  <si>
    <t xml:space="preserve">5. Producto farmacéutico de uso veterinario indicado en perros y gatos para el tratamiento de infecciones de piel y tejidos blandos tales como heridas, celulitis y pioderma superficial juvenil y profundo; causadas por cepas susceptibles de los siguientes organismos: Staphylococcus sp., Streptococcus sp., Escherichia coli y Pasteurella sp.
</t>
  </si>
  <si>
    <t>HIDRALYTE MAX</t>
  </si>
  <si>
    <t>ANDREA URIBE LLANO</t>
  </si>
  <si>
    <t xml:space="preserve">5. PRODUCTOS FARMACEUTICOS.
32. AGUAS MINERALES Y OTRAS BEBIDAS NO ALCOHOLICAS, BEBIDAS Y ZUMOS DE FRUTAS, SIROPES Y OTRAS PREPARACIONES PARA HACER BEBIDAS, CERVEZAS.
</t>
  </si>
  <si>
    <t>HIDRALYTE</t>
  </si>
  <si>
    <t xml:space="preserve">5. PRODUCTOS FARMACEUTICOS.
</t>
  </si>
  <si>
    <t>VICARPEN</t>
  </si>
  <si>
    <t>PET GOODIES</t>
  </si>
  <si>
    <t xml:space="preserve"> LABORATORIOS SERVINSUMOS S.A, PARQUE INDUSTRIAL GRAN SABANA BODEGA M24, TOCANCIPA, CUNDINAMARCA, CO</t>
  </si>
  <si>
    <t xml:space="preserve">5. Complementos alimenticios para animales.
</t>
  </si>
  <si>
    <t>RE´NOVO</t>
  </si>
  <si>
    <t xml:space="preserve">5. Hidrolizados de proteína de suero de leche [complementos dietéticos]; hidrolizados de proteína de suero de leche [suplementos dietéticos]; hidrolizados de proteína de suero de leche en cuanto complementos dietéticos; hidrolizados de proteína de suero de leche en cuanto suplementos dietéticos; cápsulas de gelatina para productos farmacéuticos; cápsulas de gelatina vacías para productos farmacéuticos; ejiao [gelatina de cuero de asno] para uso en la medicina china; gelatina para uso médico; aislados de proteína de suero de leche [complementos dietéticos]; aislados de proteína de suero de leche [suplementos dietéticos]; aislados de proteína de suero de leche en cuanto complementos dietéticos; aislados de proteína de suero de leche en cuanto suplementos dietéticos; comementos de proteína de suero de leche; concentrados de proteína de suero de leche [complementos dietéticos]; concentrados de proteína de suero de leche [suplementos dietéticos]; concentrados de proteína de suero de leche en cuanto complementos dietéticos; concentrados de proteína de suero de leche en cuanto suplementos dietéticos; complementos alimenticios en polvo a base de proteinas; suplementos alimenticios en polvo a base de proteinas.
</t>
  </si>
  <si>
    <t>JUST LIKE ME</t>
  </si>
  <si>
    <t>INVERSIONES GONDWANA S.A.S</t>
  </si>
  <si>
    <t xml:space="preserve"> Pure Romance, LLC, 655 Plum Street, CINCINNATI, OHIO 45202, US</t>
  </si>
  <si>
    <t xml:space="preserve">5. Productos para el cuidado corporal, como, lubricantes tópicos para uso personal.
</t>
  </si>
  <si>
    <t>GOLD ELTO-RO</t>
  </si>
  <si>
    <t xml:space="preserve"> COMPANY INFINITY BULL S.A.S, AV 6 NORTE 29A 28, CALI, VALLE DEL CAUCA 760001, CO</t>
  </si>
  <si>
    <t xml:space="preserve">5. Bebidas dietéticas para uso médico; bebidas enriquecidas con elementos nutricionales para uso médico; bebidas enriquecidas con vitaminas para uso médico; bebidas medicinales; bebidas para uso médico; bebidas utilizadas como complementos dietéticos; bebidas utilizadas como sustitutos de las comidas para uso médico; champús medicinales; champús secos medicinales; chicles de nicotina para ayudar a dejar de fumar; cigarrillos sin tabaco para uso médico; complementos alimenticios a base de jalea real; complementos alimenticios a base de levadura; complementos alimenticios a base de polen; complementos alimenticios a base de propóleos; complementos alimenticios a base de proteínas; complementos alimenticios a base de proteínas de soja; complementos alimenticios a base de semillas de lino; complementos alimenticios minerales; complementos alimenticios para personas o animales; complementos alimenticios de vitaminas y minerales; complementos a base de hierbas; complementos de calcio; complementos dietéticos; complementos dietéticos para la alimentación humana; complementos dietéticos alimenticios; complementos dietéticos en polvo con sabor a frutas para elaborar bebidas; complementos dietéticos de vitaminas; complementos dietéticos y nutricionales; complementos homeopáticos; complementos minerales nutricionales; complementos nutricionales a base de almidón, adaptados a fines médicos; complementos vitamínicos; complementos vitamínicos en comprimidos que disueltos en agua sirven para elaborar bebidas efervescentes; complementos vitamínicos y minerales; complementos de zinc en pastillas; comprimidos vitamínicos; cortezas para uso farmacéutico; cremas analgésicas para uso tópico; cremas antibióticas; cremas a base de hierbas para uso médico; cápsulas para adelgazar; cápsulas a base de hierbas para potenciar la sexualidad masculina; cápsulas de gelatina para productos farmacéuticos; cápsulas de gelatina vacías para productos farmacéuticos; cápsulas de ginseng para uso médico; cápsulas para medicamentos; cápsulas monodosis vacías para uso farmacéutico; cápsulas vacías para productos farmacéuticos; diuréticos; drogas para uso médico; esencia de trementina para uso farmacéutico; extractos de hierbas para uso medicinal; fármacos inductores de la erección; fármacos organoterapéuticos; ginseng para uso medicinal; gomas de mascar para uso médico; gomas para uso médico; gotas vitamínicas; hierbas de fumar para uso médico; hierbas medicinales; hierbas medicinales secas o conservadas; jalea real para uso farmacéutico; jalea real para uso médico; jarabes para uso farmacéutico; laxantes; lociones antibacterianas para las manos; lociones capilares medicinales; lociones dermatológicas; lubricantes sexuales; lubricantes de silicona para uso personal; lubricantes para uso médico; lubricantes vaginales [preparaciones higiénicas]; malta para uso farmacéutico; medicamentos; medicamentos y agentes terapéuticos; medicinas homeopáticas; menta para uso farmacéutico; mezclas para bebidas dietéticas utilizadas como sustitutivos de las comidas, para uso médico; mezclas para bebidas utilizadas como sustitutos de las comidas y complementos dietéticos para uso médico; mezclas de complementos nutricionales en polvo para bebidas; pastillas medicinales; polvos utilizados como sustitutos de las comidas para uso médico; preparaciones para aumentar la fertilidad; preparaciones dietéticas alimenticias para uso médico; preparaciones para elaborar bebidas dietéticas de uso médico; preparaciones para elaborar bebidas medicinales; preparaciones farmacéuticas; preparaciones farmacéuticas para inhibir el hábito de fumar; preparaciones medicinales para adelgazar; preparaciones que contienen vitamina a; preparaciones que contienen vitamina b; preparaciones que contienen vitamina c; preparaciones que contienen vitamina d; preparaciones químico-farmacéuticas; preparaciones para reducir la actividad sexual; productos farmacéuticos; píldoras para adelgazar; píldoras supresoras del apetito; píldoras para uso farmacéutico; suplementos vitamínicos líquidos; té adelgazante para uso médico; té medicinal; tónicos capilares para uso médico; vitaminas.
</t>
  </si>
  <si>
    <t>ENERGY BULL</t>
  </si>
  <si>
    <t>GOLD ELPA-TRON</t>
  </si>
  <si>
    <t>NATURAL SUPPLY PROPOLI MIEL</t>
  </si>
  <si>
    <t xml:space="preserve"> DISMENAT S.A.S., Calle 50 No. 67 - 73 local 103 , MEDELLIN, ANTIOQUIA, CO</t>
  </si>
  <si>
    <t xml:space="preserve">YiARA </t>
  </si>
  <si>
    <t>Daniela  Duque Arias, Carrera 17 # 22 - 42, Lorena 4, Bloque 6, apto 4b, PEREIRA, RISARALDA, CO</t>
  </si>
  <si>
    <t xml:space="preserve">5. Medicamentos homeopáticos.
</t>
  </si>
  <si>
    <t>Mi Amore</t>
  </si>
  <si>
    <t xml:space="preserve"> INVERSIONES X  HOBBIES S.A.S., CL 45 53 50, MEDELLIN, ANTIOQUIA, CO</t>
  </si>
  <si>
    <t xml:space="preserve">3. Preparaciones para blanquear y otras sustancias para lavar la ropa; jabones no medicinales; productos de perfumería, aceites esenciales, cosméticos no medicinales, lociones capilares no medicinales; Aceites para perfumes y fragancias; bases para perfumes de flores; colonias, perfumes y productos cosméticos; difusores de perfumes de ambiente con varillas; espráis utilizados como desodorantes y perfumes corporales; perfumes; perfumes líquidos; perfumes para uso industrial; perfumes sólidos; perfumes y aguas de colonia; perfumes y aguas de tocador; perfumes y colonias; perfumes, aguas de colonia y productos para después del afeitado; preparaciones ambientadoras (perfumes); productos de fumigación [perfumes]; productos de perfumería, fragancias e incienso que no sean perfumes para uso personal; aceites esenciales en cuanto perfumes de lavandería; recambios de perfumes para difusores de aceites esenciales enchufables; recambios de perfumes para difusores electrónicos de aceites esenciales; abrillantadores y cremas para el cuero; bases de maquillaje en crema; bálsamos [cremas] para disimular las imperfecciones de la piel; bálsamos de belleza (cremas); cosméticos en forma de cremas; crema corporal; crema corporal para uso cosmético; crema en gel para matificar la piel; crema para las manos; crema para peinar el cabello; crema lavamanos; crema para aclarar la piel; cremas acondicionadoras para la piel, de uso cosmético; cremas autobronceadoras; cremas.
5. Productos farmacéuticos, preparaciones para uso médico; productos higiénicos y sanitarios para uso médico; emplastos, material para apósitos; material para empastes e improntas dentales; desinfectantes; productos para eliminar animales dañinos; fungicidas, herbicidas. Alcohol isopropílico [isopropanol] para uso médico; alcohol para uso farmacéutico; alcohol para uso tópico; alcoholes medicinales; bastoncillos con alcohol para uso médico; artículos absorbentes para la higiene personal; preparaciones sanitarias de higiene personal que no sean productos de tocador.
</t>
  </si>
  <si>
    <t>MEDICARE</t>
  </si>
  <si>
    <t>MEDICARTE S.A.,</t>
  </si>
  <si>
    <t xml:space="preserve"> OPTION S.A., AUTOPISTA MEDELLIN, KM. 1 VIA SIBERIA, COTA, CUNDINAMARCA, CO</t>
  </si>
  <si>
    <t xml:space="preserve">5. Sedas dentales.
</t>
  </si>
  <si>
    <t>MENPR0S®</t>
  </si>
  <si>
    <t>Marco Antonio Gallego Trujillo, calle 98 #22-64, BOGOTÁ, D.C. 110111, CO</t>
  </si>
  <si>
    <t xml:space="preserve">5. Suplementos nutricionales líquidos; suplementos nutricionales y alimenticios; bebidas nutricionales en cuanto complementos alimenticios; bebidas nutricionales en cuanto suplementos alimenticios.
</t>
  </si>
  <si>
    <t>UT BALANCE</t>
  </si>
  <si>
    <t xml:space="preserve"> SUMIMASCOTAS SAS, CALLE 47N # 3F - 03, CALI, VALLE DEL CAUCA 760050, CO</t>
  </si>
  <si>
    <t xml:space="preserve">5. Complementos nutricionales para uso veterinario.
</t>
  </si>
  <si>
    <t>TEA CHECE</t>
  </si>
  <si>
    <t>David Alejandro  Romero Tunjano , Calle 33 #6 -09  Apto 501, BOGOTÁ, D.C. 110911, CO</t>
  </si>
  <si>
    <t xml:space="preserve">5. Cigarrillos de imitación para uso médico; cigarrillos de imitación utilizados como dispositivos de ayuda para parar de fumar; cigarrillos sin tabaco para uso médico; líquidos medicamentosos para cigarrillos electrónicos [e-liquid]; líquidos medicamentosos para cigarrillos electrónicos [e-liquid] que contienen vitaminas; líquidos medicinales para cigarrillos electrónicos; soluciones líquidas medicinales que contienen vitaminas, para los cigarrillos electrónicos; cannabis medicinal en forma de aceites para facilitar la administración de fármacos; cannabis medicinal en forma de tisanas; cannabis medicinal en forma de tisanas para uso medicinal; cannabis para uso médico.
</t>
  </si>
  <si>
    <t>G-XIRECELL</t>
  </si>
  <si>
    <t xml:space="preserve"> LABORATORIOS GUSING 100% PRODUCTOS NATURALES Y HOMEOPATICOS S.A.S., CARRERA 10 ESTE NO. 30-03 SAN MATEO, SOACHA, CUNDINAMARCA, CO</t>
  </si>
  <si>
    <t xml:space="preserve">5. Productos farmacéuticos, productos farmacéuticos homeopáticos, suplementos y complementos dietarios, nutricionales o alimenticios, todos para uso humano, en forma de gotas, ungüentos, jarabes, cápsulas, tabletas, polvos o suspensiones.
</t>
  </si>
  <si>
    <t>ALFEN</t>
  </si>
  <si>
    <t xml:space="preserve"> BD FARMA SAS, Carrera 49 91-28, BOGOTÁ, D.C. 111211, CO</t>
  </si>
  <si>
    <t xml:space="preserve">5. Medicamentos para uso humano.
</t>
  </si>
  <si>
    <t>NYBOL</t>
  </si>
  <si>
    <t>DIART</t>
  </si>
  <si>
    <t>GUMENIUK MYKOLA IVANOVYCH</t>
  </si>
  <si>
    <t>HALCONES DE LA NUTRICIÓN</t>
  </si>
  <si>
    <t xml:space="preserve"> HANPROTEIN COLOMBIA S.A.S., CARRERA 51 # 76 - 199, BARRANQUILLA, ATLÁNTICO, CO</t>
  </si>
  <si>
    <t xml:space="preserve">5. Complementos dietéticos; complementos dietéticos y nutricionales; complementos minerales nutricionales; complementos nutricionales; complementos nutricionales y alimenticios; mezclas de complementos nutricionales en polvo para bebidas; suplementos nutricionales líquidos; alimentos dietéticos para uso médico; complementos alimenticios a base de proteínas de soja; complementos alimenticios a base de proteínas.
</t>
  </si>
  <si>
    <t>VOMDEP</t>
  </si>
  <si>
    <t xml:space="preserve">5. Drogas para uso médico; medicamentos; medicamentos y agentes terapéuticos; medicamentos para uso médico.
</t>
  </si>
  <si>
    <t>DIALPEN</t>
  </si>
  <si>
    <t>GASTROVER</t>
  </si>
  <si>
    <t xml:space="preserve"> DISTRIBUIDORA TIENDA NATURISTA CASA VERDE SAS, KM2 VIA CIRCASIA, ARMENIA, QUINDIO, CO</t>
  </si>
  <si>
    <t>TILEY</t>
  </si>
  <si>
    <t xml:space="preserve"> ABBOTT OPERATIONS URUGUAY S.R.L., ROUTE 8, KM 17,500, CELEBRA BUILDING, OFFICE 503, MONTEVIDEO, URUGUAY, MONTEVIDEO, MONTEVIDEO, UY</t>
  </si>
  <si>
    <t xml:space="preserve">5. Productos farmacéuticos y preparaciones médicas; preparaciones sanitarias para fines médicos; alimentos dietéticos y sustancias adaptadas para uso médico, suplementos dietéticos y nutricionales para humanos; preparaciones a base de vitaminas; emplastos, materiales para apósitos.
</t>
  </si>
  <si>
    <t>CARILUM</t>
  </si>
  <si>
    <t>CALOSIA</t>
  </si>
  <si>
    <t>FOSFACYL</t>
  </si>
  <si>
    <t xml:space="preserve"> DVA DE COLOMBIA LTDA, Km 1,5 vía Chía-Cajicá Centro Empresarial Oxus Of 509  , CHIA, CUNDINAMARCA 11001, CO</t>
  </si>
  <si>
    <t xml:space="preserve">1. Fertilizantes.
5. Fungicidas, herbicidas.
</t>
  </si>
  <si>
    <t>BRANGUS</t>
  </si>
  <si>
    <t xml:space="preserve"> POLAQUIMIA, S.A. DE C.V., Azahares 26,  Colonia Santa Maria Insurgentes, , CUAUHTEMOC, CIUDAD DE MEXICO C.P. 06430, MX</t>
  </si>
  <si>
    <t xml:space="preserve">1. Productos químicos para la agricultura, la horticultura y la silvicultura.
5. Fungicidas, herbicidas, insecticidas, adyuvantes.
</t>
  </si>
  <si>
    <t>DRIVER</t>
  </si>
  <si>
    <t>LUXEMBOURG INDUSTRIES LTD.,</t>
  </si>
  <si>
    <t>MELOFOX</t>
  </si>
  <si>
    <t xml:space="preserve"> TRIDEX FARMACEUTICA S.A.S., CARRERA 46 NO. 12 - 30, BOGOTÁ, D.C., CO</t>
  </si>
  <si>
    <t>CLO-B-ZOL</t>
  </si>
  <si>
    <t>VITAVER MAX</t>
  </si>
  <si>
    <t>FLUXIMEZ</t>
  </si>
  <si>
    <t>HISLAT F</t>
  </si>
  <si>
    <t>CLOZOL EX</t>
  </si>
  <si>
    <t>DIVERGEL</t>
  </si>
  <si>
    <t>Lifehealth Universal Export S.A.S.</t>
  </si>
  <si>
    <t xml:space="preserve"> LABORATORIOS ECAR S.A., CARRERA 44 NO 27-50, MEDELLIN, ANTIOQUIA, CO</t>
  </si>
  <si>
    <t>AIVIC SKIN</t>
  </si>
  <si>
    <t>AIDA VICTORIA  MERLANO MANZANEDA, Calle 117 # 42b 74 torre 4 apto 102, BARRANQUILLA, ATLÁNTICO, CO</t>
  </si>
  <si>
    <t>Welife</t>
  </si>
  <si>
    <t>Stiven  Racines Bravo, calle 57 # 1b74 apt 501-2, CALI, VALLE DEL CAUCA 760032, CO</t>
  </si>
  <si>
    <t xml:space="preserve">5. Cremas medicamentosas para hidratar la piel; cremas medicamentosas para la hidratación de la piel; lociones y cremas medicamentosas para el cuerpo, piel, cara y manos; líquidos medicamentosos para cigarrillos electrónicos [e-liquid] que contienen vitaminas; medicamentos; medicamentos a base de hierbas; medicamentos de venta libre; medicamentos fitoterapéuticos para el consumano animal; medicamentos fitoterapéuticos para el consumo humano; medicamentos herbarios; medicamentos homeopáticos; medicamentos líquidos; medicamentos para el tratamiento de enfermedades cardiovasculares y cerebrovasculares; medicamentos para el tratamiento de enfermedades gastrointestinales; medicamentos para uso humano; medicamentos para uso veterinario; medicamentos sin prescripción médica; medicamentos sin receta; pomadas labiales medicamentosas; preparaciones medicamentosas para el cuidado de los labios.
</t>
  </si>
  <si>
    <t>NEWAGE</t>
  </si>
  <si>
    <t xml:space="preserve"> PHARVET S.A.S., CRA 49C No. 91 - 31, BOGOTÁ, D.C., CO</t>
  </si>
  <si>
    <t xml:space="preserve">5. Productos farmacéuticos, preparaciones para uso médico y veterinario; productos higiénicos y sanitarios para uso médico o veterinario; alimentos y sustancias dietéticas para uso médico o veterinario, complementos alimenticios para personas o animales; preparaciones y sustancias veterinarias.
</t>
  </si>
  <si>
    <t>EZAPRES</t>
  </si>
  <si>
    <t xml:space="preserve"> Inventia Healthcare Limited, Unit 703 - 704, 7th Floor, Hubtown Solaris, N.S. Phadke Marg, Andheri (East) , MUMBAI, MAHARASHTRA 400069, IN</t>
  </si>
  <si>
    <t xml:space="preserve">5. Productos farmacéuticos, preparaciones para uso médico y veterinario; preparaciones sanitarias para uso médico; alimentos y sustancias dietéticas para uso médico o veterinario, alimentos para bebés; complementos alimenticios para personas o animales.
</t>
  </si>
  <si>
    <t>ACEVIT</t>
  </si>
  <si>
    <t>Tridex Farmaceutica S.A.S.,</t>
  </si>
  <si>
    <t xml:space="preserve"> DERKEN S.A.S., CALLE 84 # 42H - 13, BARRANQUILLA, ATLÁNTICO, CO</t>
  </si>
  <si>
    <t xml:space="preserve">5. Alimentos y suplementos alimenticios sin gluten, todos adecuados a fines médicos; suplementos alimenticios; parches de suplementos vitamínicos; suplementos vitamínicos líquidos; suplementos vitamínicos para productos alimenticios de consumo humano; fibra alimentaria como ingrediente para la fabricación de suplementos dietéticos; fibra alimentaria para facilitar la digestión; fibra alimenticia para tratar el estreñimiento; fibras alimentarias; aguas enriquecidas con vitaminas para uso médico; bebidas enriquecidas con vitaminas para uso médico; bebidas nutricionales enriquecidas con vitaminas para uso dietético; complementos alimenticios de vitaminas y minerales; complementos de vitaminas para productos alimenticios de consumo humano; complementos dietéticos de vitaminas; comprimidos de vitaminas; multivitaminas.
</t>
  </si>
  <si>
    <t>FEMMEVIT</t>
  </si>
  <si>
    <t xml:space="preserve">5. Alimentos y suplementos alimenticios sin gluten, todos adecuados a fines médicos; suplementos alimenticios; parches de suplementos vitamínicos; suplementos vitamínicos líquidos; suplementos vitamínicos para productos alimenticios de consumo humano; fibra alimentaria para facilitar la digestión; fibra alimenticia para tratar el estreñimiento; fibras alimentarias; fibras dietéticas para facilitar la digestión; aguas enriquecidas con vitaminas para uso médico; bebidas enriquecidas con vitaminas para uso médico; bebidas nutricionales enriquecidas con vitaminas para uso dietético; complementos de vitaminas para productos alimenticios de consumo humano; multivitaminas.
</t>
  </si>
  <si>
    <t>FLEXLAGEN</t>
  </si>
  <si>
    <t xml:space="preserve">5. Alimentos y suplementos alimenticios sin gluten, todos adecuados a fines médicos; suplementos alimenticios; parches de suplementos vitamínicos; suplementos vitamínicos líquidos; suplementos vitamínicos para productos alimenticios de consumo humano; fibras alimentarias; fibras de semillas de lino molidas utilizadas como complementos dietéticos; fibras dietéticas para facilitar la digestión; aguas enriquecidas con vitaminas para uso médico; bebidas enriquecidas con vitaminas para uso médico; bebidas nutricionales enriquecidas con vitaminas para uso dietético; complementos alimenticios de vitaminas y minerales; complementos de vitaminas para productos alimenticios de consumo humano; comprimidos de vitaminas.
</t>
  </si>
  <si>
    <t>BULL X</t>
  </si>
  <si>
    <t>ENERGY X BULL</t>
  </si>
  <si>
    <t>Fillers</t>
  </si>
  <si>
    <t>maria fernanda  betancur hernandez, carrera 43 a # 45 b sur 81 casa 109, ENVIGADO, ANTIOQUIA, CO</t>
  </si>
  <si>
    <t>Proage</t>
  </si>
  <si>
    <t>ProduKtil</t>
  </si>
  <si>
    <t>Profiller</t>
  </si>
  <si>
    <t>PROVILIFE</t>
  </si>
  <si>
    <t xml:space="preserve"> PROVITA S.A.S., CALLE 38 B SUR # 46 A - 08, ENVIGADO, ANTIOQUIA, CO</t>
  </si>
  <si>
    <t xml:space="preserve">3. Productos cosméticos, aceites esenciales líneas de perfumería, Aceites de cáñamo a base de cbd para uso cosmético; preparaciones para el cuidado de la piel a base de cbd; preparados para el cuidado de la piel a base de cbd; productos cosméticos de cbd, artículos de aseo personal, productos de limpieza para el hogar, 	preparaciones de limpieza para el hogar, detergentes para el hogar.
5. Nutracéuticos para uso terapéutico, nutracéuticos utilizados como complementos dietéticos, parches transdérmicos que facilitan el suministro de nutracéuticos, productos farmacéuticos.
</t>
  </si>
  <si>
    <t>DR. JACK NUTRITION</t>
  </si>
  <si>
    <t>Alba Lucia Ceballos Arango, cra 54 45-b27, CALI, VALLE DEL CAUCA, CO</t>
  </si>
  <si>
    <t xml:space="preserve">5. Concentrados de proteína de suero de leche [suplementos dietéticos]; concentrados de proteína de suero de leche en cuanto suplementos dietéticos; suplementos alimenticios; suplementos alimenticios a base de minerales; suplementos alimenticios compuestos de aminoácidos; suplementos alimenticios dietéticos; suplementos alimenticios en polvo a base de proteinas; suplementos alimenticios para personas; complementos alimenticios de vitaminas y minerales; complementos de vitaminas para productos alimenticios de consumo humano; complementos dietéticos de vitaminas; comprimidos de vitaminas; pastillas de vitaminas; preparaciones de vitaminas y minerales; preparaciones de vitaminas*; suplementos de vitaminas para productos alimenticios de consumo humano; vitaminas; vitaminas, minerales y antioxidantes en cuanto suplementos nutricionales y dietéticos.
</t>
  </si>
  <si>
    <t>WE LIFE THE WAY WE LIVE</t>
  </si>
  <si>
    <t xml:space="preserve"> MEDIC ORGANICS S.A.S., CL 12 NORTE # 4 - 17, CALI, VALLE DEL CAUCA, CO</t>
  </si>
  <si>
    <t xml:space="preserve">5. Cannabis medicinal en forma de tisanas; cannabis medicinal en forma de tisanas para uso medicinal; cannabis para uso médico; complementos a base de hierbas; cremas a base de hierbas para uso médico; extractos de hierbas medicinales para uso médico; infusiones de hierbas medicinales.
</t>
  </si>
  <si>
    <t>QUIMFAR XX-22</t>
  </si>
  <si>
    <t>TILOVET</t>
  </si>
  <si>
    <t>LABORATORIOS SERVICIOS FARMACEUTICOS DE CALIDAD LTDA,</t>
  </si>
  <si>
    <t>TRIMEBAC</t>
  </si>
  <si>
    <t>PIANTE</t>
  </si>
  <si>
    <t xml:space="preserve"> Sineria Holland BV., Randwycksingel 20-A015 Maastricht, Países Bajos, MAASTRICHT, LIMBURG, NL</t>
  </si>
  <si>
    <t xml:space="preserve">5. Pesticidas agrícolas; Insecticidas para uso agrícola; Fungicidas para uso agrícola; Herbicidas para uso agrícola; Alguicidas para uso agrícola; Acaricidas para uso agrícola; Bactericidas.
</t>
  </si>
  <si>
    <t>CARILVIR</t>
  </si>
  <si>
    <t>MEDIC THERAPEUTICS</t>
  </si>
  <si>
    <t xml:space="preserve"> HUB EMERGENCY SERVICES, LLC, 3069 TAFT STREET Hollywood FL 33021, US</t>
  </si>
  <si>
    <t xml:space="preserve">5. Crema deportiva para el alivio del dolor; preparaciones higienizantes de manos.
</t>
  </si>
  <si>
    <t xml:space="preserve">METZI  </t>
  </si>
  <si>
    <t xml:space="preserve"> IPPF/WHR INNOVA S.A. , Ave. Manuel Espinoza Batista, Antiguo Edif. NCR, Piso 1, Oficina 3, CIUDAD DE PANAMA, PANAMA, PA</t>
  </si>
  <si>
    <t xml:space="preserve">5. Productos farmacéuticos; anticonceptivos orales; kits de prueba de embarazo; soluciones medicinales inyectables; preparaciones anticonceptivas.
</t>
  </si>
  <si>
    <t>BABY CHIC</t>
  </si>
  <si>
    <t>SATIARE</t>
  </si>
  <si>
    <t>ECTOGARD</t>
  </si>
  <si>
    <t>Virbac S.A.</t>
  </si>
  <si>
    <t xml:space="preserve">5. Productos farmacéuticos, preparaciones para veterinario; productos higiénicos y sanitarios para uso veterinario; alimentos y sustancias dietéticas para uso veterinario; complementos alimenticios para animales; productos para eliminar parásitos; insecticida.
</t>
  </si>
  <si>
    <t xml:space="preserve">LA MILENARIA Salud y energía para tu familia </t>
  </si>
  <si>
    <t>ALEX RICHARD  FILIO ROJAS, JIRON LAMPA 1008 CERCADO SECTOR 1 GRUPO 7 MANZANA B LOTE 12 LIMA 42 DE LIMA, LIMA, LIMA, PE</t>
  </si>
  <si>
    <t>Cells4Vets</t>
  </si>
  <si>
    <t>CELLS FARMACEUTICA S.A.S.,</t>
  </si>
  <si>
    <t>Juanita Arroyave Giraldo, Calle 71 # 1-750 Florida Blanca casa 4, VILLAMARIA, CALDAS, CO</t>
  </si>
  <si>
    <t xml:space="preserve">5. Células madre; Células madre para uso veterinario; Preparados farmacéuticos que contienen células madre; Medicamentos para uso veterinario; Remedios para uso veterinario.
44. Almacenamiento células madre; Servicios terapéuticos a base de células madre; Servicios médicos relacionados con la extracción, el tratamiento y la transformación de células madre; Servicios veterinarios.
</t>
  </si>
  <si>
    <t>BIOPRINCE</t>
  </si>
  <si>
    <t xml:space="preserve"> BIOTROP PARTICIPAÇÕES S.A., AVENIDA CIDADE JARDIM, N. 803, 6TH FLOOR, ROOM 15 – DISTRICT: ITAIM BIBI, SÃO PAULO, SAO PAULO, BR</t>
  </si>
  <si>
    <t xml:space="preserve">1. Aditivos químicos para insecticidas; agentes conservantes para flores; compost; compuestos de bario; abonos nitrogenados; algas [fertilizantes]; apatita [mineral hexagonal, fluoro fosfato o cloro fosfato de calcio o ambos em mezcla – materia prima para la fabricación de fertilizantes fosfatados]; compuestos orgánicos para fertilización; compuestos orgánicos [fertilizantes]; harina de huesos utilizada como fertilizante; fertilizantes; fertilizante de harina de pescado; fertilizantes nitrogenados; fertilizantes a base de urea; fosfatos [fertilizantes]; yeso utilizado como fertilizante; reparaciones fertilizantes; preparaciones químicas de protección contra las enfermedades de las plantas de cereales; preparaciones para enmendar suelos; reparaciones para regular el crecimiento de las plantas; sales [fertilizantes]; productos químicos para uso agrícola, excepto fungicidas, herbicidas, insecticidas y parasiticidas; productos químicos para uso hortícola, excepto fungicidas, herbicidas, insecticidas y parasiticidas; productos químicos para la silvicultura, excepto fungicidas, herbicidas, insecticidas y parasiticidas; superfosfatos [fertilizantes]; turbas [fertilizantes]; substratos para cultivo fuera del suelo [agricultura].
5. Defensivo agrícola; defensivo agrícola biológico; preparados de microbios; productos biológicos para agricultura; preparaciones biológicas para agricultura; preparaciones químicas para prevenir infecciones patógenas em las plantas; fungicidas para uso agrícola; herbicidas para uso agrícola; insecticidas para uso agrícola; preparados para combatir malezas; preparaciones químicas para tratar las enfermedades de las plantas de cereales; preparaciones químicas para tratar el tizón del trigo.
</t>
  </si>
  <si>
    <t>ATENA</t>
  </si>
  <si>
    <t xml:space="preserve">1. Aditivos químicos para insecticidas; agentes conservantes para flores; compost; compuestos de bario; abonos nitrogenados; algas [fertilizantes]; apatita [mineral hexagonal, fluoro fosfato o cloro fosfato de calcio o ambos em mezcla – materia prima para la fabricación de fertilizantes fosfatados]; compuestos orgánicos para fertilización; compuestos orgánicos [fertilizantes]; harina de huesos utilizada como fertilizante; fertilizantes; fertilizante de harina de pescado; fertilizantes nitrogenados; fertilizantes a base de urea; fosfatos [fertilizantes]; yeso utilizado como fertilizante; reparaciones fertilizantes; preparaciones químicas de protección contra las enfermedades de las plantas de cereales; preparaciones para enmendar suelos; preparaciones para regular el crecimiento de las plantas; sales [fertilizantes]; productos químicos para uso agrícola, excepto fungicidas, herbicidas, insecticidas y parasiticidas; productos químicos para uso hortícola, excepto fungicidas, herbicidas, insecticidas y parasiticidas; productos químicos para la silvicultura, excepto fungicidas, herbicidas, insecticidas y parasiticidas; superfosfatos [fertilizantes]; turbas [fertilizantes]; substratos para cultivo fuera del suelo [agricultura].
5. Defensivo agrícola; defensivo agrícola biológico; preparados de microbios; productos biológicos para agricultura; preparaciones biológicas para agricultura; preparaciones químicas para prevenir infecciones patógenas em las plantas; fungicidas para; uso agrícola; herbicidas para uso agrícola; insecticidas para uso agrícola; preparados para combatir malezas; preparaciones químicas para tratar las enfermedades de las plantas de cereales; preparaciones químicas para tratar el tizón del trigo.
</t>
  </si>
  <si>
    <t>HALEON For Health. With Humanity.</t>
  </si>
  <si>
    <t xml:space="preserve"> Haleon UK IP Limited, Building 5, First Floor, The Heights, Weybridge, Surrey, WEYBRIDGE, INGLATERRA KT13 0NY, GB</t>
  </si>
  <si>
    <t xml:space="preserve">3. Preparaciones para limpiar, pulir, desengrasar y raspar; jabones; perfumería; aceites esenciales; cosméticos; champús para el cuero cabelludo y el cabello; preparaciones no medicinales para el cuidado y la limpieza de la piel; cremas para la piel, lociones para la piel y el cabello, geles para la piel, ungüentos para la piel, crema para el frío; preparaciones para el cuidado de la piel; preparaciones para la protección solar; preparaciones para blanquear la piel; dentífricos y colutorios no destinados a usos médicos; refrescantes del aliento; geles dentales; pastas dentífricas; preparaciones para el blanqueamiento dental, preparaciones para el pulido dental, preparaciones y aceleradores del blanqueamiento dental, preparaciones cosméticas para la eliminación de manchas dentales; preparaciones de tocador no medicadas; preparaciones para el cuidado bucal no medicadas; preparaciones para la limpieza, el lavado, el pulido y la desodorización de prótesis dentales.
5. Preparaciones y sustancias farmacéuticas y medicinales, excluyendo las preparaciones y sustancias para el cuidado de la visión quirúrgica y/o profesional; agentes terapéuticos (médicos), excluyendo los agentes para el cuidado de la visión quirúrgica y/o profesional; parches adhesivos para fines médicos, excluyendo los parches adhesivos para uso en el campo de la cirugía y/o del cuidado de la visión profesional; parches adhesivos que incorporan una preparación farmacéutica, excluyendo los parches adhesivos para uso en el campo de la cirugía y/o del cuidado de la visión profesional; parches, emplastos y apósitos medicinales para el tratamiento de enfermedades, afecciones y trastornos de la piel; vacunas; vitaminas, minerales y complementos alimenticios; preparados dietéticos; sustancias dietéticas, incluidos los alimentos y bebidas adaptados para uso médico; alimentos para lactantes; preparados para adelgazar preparaciones medicinales para el cuidado bucal, a saber, dentífricos medicinales, colutorios medicinales; preparaciones medicinales para el blanqueo; preparaciones para la esterilización de prótesis dentales; chicles y pastillas medicinales para la higiene dental; adhesivos para prótesis dentales, fijadores de prótesis dentales, geles dentales medicinales; preparaciones para dejar de fumar.
</t>
  </si>
  <si>
    <t>FLORESTA ENCANTADA TIENDA HERBAL</t>
  </si>
  <si>
    <t>ELENA MEJÍA ECHEVERRI, Carrera 23 C No. 64-75, MANIZALES, CALDAS, CO</t>
  </si>
  <si>
    <t xml:space="preserve">5. Extractos de plantas medicinales; extractos de plantas para uso farmacéutico; extractos de plantas para uso médico; extractos de plantas y hierbas para uso medicinal; estimulantes [preparaciones farmacéuticas] a base de minerales; preparaciones a base de minerales para uso médico; preparaciones minerales para uso médico; sales de aguas minerales; sales minerales de baño; sales minerales para baños; sales minerales para uso médico; sales para baños de aguas minerales; aerosoles a base de hierbas para uso médico; aerosoles y cremas de hierbas medicinales de uso externo; bebidas a base de hierbas para uso médico; complementos a base de hierbas; complementos alimenticios dietéticos a base de extractos de hierbas deshidratadas en cápsulas; cremas a base de hierbas para uso médico; espráis a base de hierbas para uso médico; espráis y cremas de hierbas medicinales de uso externo; extractos de hierbas medicinales; extractos de hierbas medicinales para uso médico; hierbas medicinales; hierbas medicinales secas o conservadas; hierbas medicinales tradicionales chinas; hierbas y bebidas a base de hierbas para uso médico; infusiones de hierbas medicinales; remedios a base de hierbas; suplementos alimenticios dietéticos a base de extractos de hierbas deshidratadas en cápsulas; suplementos de hierbas líquidos; tés de hierbas para uso médico.
</t>
  </si>
  <si>
    <t xml:space="preserve">SANUS BY ARIZA </t>
  </si>
  <si>
    <t>SANNUS FOODS SAS</t>
  </si>
  <si>
    <t>EDWIN RAMIRO  ARIZA LOPEZ , CRA  69 A NO 55 A 82 SUR , BOGOTÁ, D.C.  110311, CO</t>
  </si>
  <si>
    <t xml:space="preserve">MAGIK KERATINE </t>
  </si>
  <si>
    <t>Beauty and Health Cosmetics S.A.S.,</t>
  </si>
  <si>
    <t>CATALINA CORREA QUINTERO, Carrera 33 No 72 Sur - 62, SABANETA, ANTIOQUIA, CO</t>
  </si>
  <si>
    <t xml:space="preserve">3. Aceites de baño no medicinales; aceites de baño que no sean medicinales; aceites de masaje, no medicinales; aceites no medicinales para masajes; aerosoles bucales no medicinales; antitranspirantes no medicinales; baños no medicinales para el cuerpo; baños no medicinales para los pies; bálsamos capilares no medicinales; bálsamos labiales no medicinales; bálsamos no medicinales para después de afeitar; bálsamos no medicinales para después del afeitado; champús no medicinales; champús no medicinales contra la caspa; champús no medicinales para animales de compañía; champús no medicinales para animales de compañía [preparaciones de aseo, que no sean para uso veterinario]; champús para animales [preparaciones higiénicas no medicinales]; champús para animales de compañía [preparaciones higiénicas no medicinales]; champús y acondicionadores para animales de compañía [preparaciones de peluquería no medicinales ni veterinarias]; cosméticos no medicinales; cremas de masaje no medicinales; cremas de protección capilar, no medicinales; cremas de protección para el cabello, no medicinales; cremas no medicinales para aclarar la piel; cremas no medicinales para blanquear la piel; cremas no medicinales para después de afeitar; cremas no medicinales para el cuidado de la piel; cremas no medicinales para el tratamiento del cuero cabelludo; cremas no medicinales para la dermatitis del pañal; cremas no medicinales para la piel; cremas no medicinales para los pies; cremas para después de afeitar (no medicinales); cremas para después del afeitado (no medicinales); cremas para el cuidado de la piel, no medicinales; cremas para la piel no medicinales a base de aceites esenciales para uso en aromaterapia; cremas para limpiar la piel [no medicinales]; dentífricos no medicinales; dentífricos y enjuagues bucales no medicinales; duchas no medicinales; duchas vaginales no medicinales; enjuagues bucales no medicinales; enjuagues bucales no medicinales para animales de compañía; esponjas impregnadas con productos de tocador no medicinales; esprays bucales no medicinales; exfoliantes faciales y corporales no medicinales; geles de baño no medicinales; geles de baño y de ducha no medicinales; geles exfoliantes, no medicinales; geles no medicinales; geles no medicinales para después de afeitar; geles no medicinales para después del afeitado; geles para el baño [no medicinales]; geles y sales de baño y de ducha no medicinales; jabones de tocador no medicinales; jabones en polvo no medicinales; jabones líquidos no medicinales; jabones no medicinales; lavados no medicinales; lavados vaginales no medicinales; limpiadores cutáneos no medicinales; limpiadores de la piel no medicinales; limpiadores no medicinales para la piel; lociones capilares no medicinales; lociones capilares reparadoras no medicinales; lociones estimulantes no medicinales para la piel; lociones no medicinales para aclarar la piel; lociones no medicinales para el cuidado de la piel [cosméticos]; lociones no medicinales para la piel; lociones no medicinales para los pies; líquidos para lavarse las manos no medicinales a base de jabón; parches que contienen preparaciones no medicinales para el cuidado de la pie; pastas de dientes no medicinales; polvos de baño no medicinales; polvos no medicinales para los pies; pomadas no medicinales para prevenir y tratar las quemaduras solares; pomadas y lociones no medicinales contra la dermatitis del pañal; preparaciones capilares no medicinales; preparaciones cosméticas no medicinales para tratamientos capilares; preparaciones de baño no medicinales para animales; preparaciones de burbujas no medicinales; preparaciones de cuidado corporal no medicinales; preparaciones de jabón no medicinales; preparaciones de tocador no medicinales; preparaciones higiénicas en cuanto productos de tocador no medicinales; preparaciones limpiadoras no medicinales para la higiene íntima; preparaciones limpiadoras no medicinales para la piel; preparaciones líquidas no medicinales para limpiar las manos; preparaciones no medicinales para aliviar las quemaduras solares; preparaciones no medicinales para el aseo de animales que no sean productos para lavarlos; preparaciones no medicinales para el baño; preparaciones no medicinales para el cuidado bucal; preparaciones no medicinales para el cuidado de la piel; preparaciones no medicinales para el cuidado de la piel, el cabello y el cuero cabelludo; preparaciones no medicinales para el cuidado de los labios; preparaciones no medicinales para el cuidado de los pies; preparaciones no medicinales para el cuidado del cabello; preparaciones no medicinales para el cuidado dental; preparaciones no medicinales para el cuidado dental de los animales; preparaciones no medicinales para masajes; preparaciones para el cuidado bucal [no medicinales]; preparaciones para el cuidado bucal, no medicinales; preparaciones para el cuidado de la piel, no medicinales; preparaciones sanitarias en cuanto productos de tocador no medicinales; preparacioness no medicinales para después de afeitar; preparacioness no medicinales para después del afeitado; preparados no medicinales para el cuidado de la piel; productos cosméticos no medicinales; productos cosméticos y preparaciones de tocador no medicinales; productos de jabón no medicinales; productos de perfumería, aceites esenciales, cosméticos no medicinales, lociones capilares no medicinales; productos de tocador no medicinales; productos no medicinales para el cuidado de la piel; productos no medicinales para enjuagarse la boca y hacer gargarismos; productos no medicinales para lavarse las manos; productos no medicinales para lavarse y enjuagarse la boca; productos para el cuidado de la piel, no medicinales; productos y preparaciones no medicinales para el cuidado de la piel; protectores labiales no medicinales; sales de baño no medicinales; soluciones para el lavado de la cara a base de gel, no medicinales; soluciones para el lavado de la cara a base de jabón, no medicinales; soluciones para el lavado de la cara sin aclarado, no medicinales; soluciones para el lavado de manos a base de gel, no medicinales; soluciones para el lavado de manos a base de jabón, no medicinales; soluciones para el lavado de manos sin aclarado, no medicinales; sueros no medicinales para la piel; tónicos no medicinales para la piel; aceites esenciales para aromatizar bebidas; aceites esenciales para aromatizar las bebidas; aromatizantes alimentarios o para bebidas en cuanto aceites esenciales; aromatizantes para bebidas [aceites esenciales]; aromatizantes para bebidas en cuanto aceites esenciales; saborizantes para bebidas [aceites esenciales]; saborizantes para bebidas en cuanto aceites esenciales.
5. Aceites de masaje no medicinales; aceites medicinales para bebés; aceites medicinales para masajes; aceites para el cuidado de la piel [medicinales]; aceites para el cuidado de la piel, medicinales; aditivos alimentarios medicinales para uso farmacéutico; aditivos alimentarios medicinales para uso veterinario; aerosoles medicinales; aerosoles medicinales para la garganta; aerosoles medicinales para uso bucal; aerosoles y cremas de hierbas medicinales de uso externo; agua de mar para baños medicinales; alcoholes medicinales; alimentos dietéticos medicinales para animales; alimentos medicinales para animales; apitoxina [veneno de abeja melífera] con fines medicinales o terapéuticos; apitoxina [veneno de abeja melífera] con fines terapéuticos o medicinales; barros medicinales; baños medicinales; baños medicinales para uso terapéutico; bebidas medicinales; bebidas medicinales en forma de licores tónicos; bebidas medicinales en forma de licores tónicos aromatizados; bebidas medicinales en la forma de suplementos dietéticos para la desintoxicación del colon; bebidas medicinales en la forma de suplementos dietéticos para la desintoxicación del hígado; bolsas para lavados internos prellenadas que contienen preparaciones medicinales para la limpieza; bálsamos analgésicos medicinales polivalentes; bálsamos medicinales para los labios; bálsamos medicinales para los pies; caramelos medicinales; champús en seco medicinales; champús medicinales; champús medicinales anticaspa; champús medicinales para animales de compañía; chicles medicinales con sabor a menta; complementos alimenticios medicinales a base de colágeno; complementos alimenticios medicinales para consumo humano; complementos medicinales para alimentos destinados a los animales; complementos medicinales para productos alimenticios de consumo humano; compresas medicinales; cremas labiales medicinales; cremas medicinales; cremas medicinales antibióticas de amplio espectro; cremas medicinales antibióticas polivalentes; cremas medicinales para aliviar de las mordeduras y picaduras de insectos; cremas medicinales para el cuidado de la piel; cremas medicinales para el tratamiento de afecciones cutáneas; cremas medicinales para la dermatitis del pañal; cremas medicinales para la piel; cremas medicinales para la protección de la piel; cremas medicinales para los pies; cremas medicinales para tratar afecciones dermatológicas; cremas para el cuidado de la piel, medicinales; decocciones de hierbas medicinales; dentífricos medicinales; duchas medicinales; duchas vaginales medicinales; ejuagues bucales medicinales anticaries; ejuagues dentales medicinales anticaries; emplastos medicinales; enjuagues bucales medicinales; enjuagues bucales medicinales anticaries; enjuagues bucales medicinales para animales de compañía; enjuagues medicinales anti caries para uso dental; esparadrapos que incorporan sustancias medicinales; espráis medicinales; espráis y cremas de hierbas medicinales de uso externo; extractos de hierbas medicinales; extractos de hierbas medicinales para uso médico; extractos de plantas medicinales; gasas impregnadas de cremas medicinales; geles de limpieza dental medicinales; geles exfoliantes, medicinales; geles medicinales aplicables con cepillo para el cuidado bucal; geles medicinales para el cuerpo; geles medicinales para el cuidado bucal; hierbas medicinales; hierbas medicinales secas o conservadas; hierbas medicinales tradicionales chinas; infusiones de hierbas medicinales; infusiones medicinales; jabones medicinales; jabones y detergentes medicinales y desinfectantes; lavados medicinales; lavados vaginales medicinales; licores medicinales; limpiadores faciales antibacterianos medicinales; lociones capilares medicinales; lociones faciales medicinales; lociones medicinales; lociones medicinales contra la dermatitis del pañal; lociones medicinales contra las quemaduras solares; lociones medicinales para después del afeitado; lociones medicinales para el cuerpo; lociones medicinales para el tratamiento de afecciones cutáneas; lociones medicinales para tratar afecciones dermatológicas; lociones y cremas medicinales para el cuerpo, piel, cara y manos; lodos medicinales; lubricantes medicinales a base de aloe vera; líquidos medicinales para cigarrillos electrónicos; parches medicinales; pastas de dientes medicinales; pastillas medicinales; paños impregnados con sustancias medicinales; pociones medicinales; polvos medicinales para bebés; polvos medicinales para el cuerpo; polvos medicinales para los pies; pomadas labiales medicinales; pomadas medicinales contra la dermatitis del pañal; pomadas mentoladas medicinales polivalentes; preparaciones con filtro solar, medicinales; preparaciones de tocador medicinales; preparaciones medicinales; preparaciones medicinales de oligoelementos para uso humano; preparaciones medicinales de protección solar; preparaciones medicinales de uso bucal en gotas, cápsulas, pastillas y comprimidos; preparaciones medicinales en cuanto aditivos alimentarios para el consumo humano; preparaciones medicinales orales para su administración en forma de comprimidos; preparaciones medicinales orales para su administración en forma de cápsulas; preparaciones medicinales orales para su administración en forma de gotas; preparaciones medicinales orales para su administración en forma de pastillas comprimidas; preparaciones medicinales para adelgazar; preparaciones medicinales para baños oculares; preparaciones medicinales para el afeitado; preparaciones medicinales para el aseo de animales; preparaciones medicinales para el baño; preparaciones medicinales para el baño de los animales; preparaciones medicinales para el crecimiento del cabello; preparaciones medicinales para el cuidado bucal; preparaciones medicinales para el cuidado capilar; preparaciones medicinales para el cuidado de la boca; preparaciones medicinales para el cuidado de la piel; preparaciones medicinales para el cuidado de la piel en forma de geles; preparaciones medicinales para el cuidado de la salud; preparaciones medicinales para el cuidado de las uñas; preparaciones medicinales para el cuidado de los labios; preparaciones medicinales para el cuidado de los pies; preparaciones medicinales para el cuidado dental; preparaciones medicinales para el cuidado dental de los animales; preparaciones medicinales para el cuidado y el tratamiento bucal; preparaciones medicinales para el tratamiento bucal; preparaciones medicinales para el tratamiento de la halitosis; preparaciones medicinales para eliminar verrugas; preparaciones medicinales para limpiar la piel y las heridas; preparaciones medicinales para pulverización nasal; preparaciones medicinales para tratamientos bucales; preparaciones medicinales para tratamientos cutáneos; preparaciones medicinales para tratar enfermedades infecciosas; preparaciones medicinales para uso en cuanto aditivos alimenticios para consumo humano; preparaciones medicinales para uso oncológico; preparaciones para el cuidado bucal, medicinales; preparaciones para el cuidado dental, medicinales; preparaciones para elaborar bebidas medicinales; preparaciones terapéuticas medicinales para baños; preparaciones y sustancias medicinales; preparados medicinales de protección solar; preparados medicinales para baños de pies; preparados medicinales para uso en cuanto aditivos alimenticios para consumo humano; productos medicinales para el cuidado de la piel; productos medicinales para lavarse las manos; productos para el cuidado de la piel, medicinales; productos y preparaciones medicinales para el cuidado de la piel; raíces medicinales; relajantes musculares medicinales para el baño; sales de baño medicinales; sales y preparaciones medicinales para el baño; serum calmante para la piel [medicinales]; serum calmante para la piel, medicinales; serum de alivio para la piel [medicinales]; serum de alivio para la piel, medicinales; soluciones de aceites medicinales; soluciones líquidas medicinales que contienen vitaminas, para los cigarrillos electrónicos; soluciones medicinales inyectables; sprays medicinales para aliviar de las mordeduras y picaduras de insectos; suplementos alimenticios medicinales a base de colágeno; suplementos alimenticios medicinales para consumo humano; suplementos medicinales para productos alimenticios de consumo humano; suplementos nutricionales no medicinales para alimentos para animales; tiritas que incorporan sustancias medicinales; tisanas medicinales; toallitas impregnadas con sustancias medicinales; toallitas impregnadas de cremas medicinales; toallitas o gasas impregnadas de cremas medicinales; tónicos medicinales; tónicos medicinales para la piel; ungüentos medicinales para el tratamiento de afecciones cutáneas; ungüentos medicinales para tratar afecciones dermatológicas; velas de masaje medicinales; veneno de abeja con fines medicinales o terapéuticos; veneno de abeja con fines terapéuticos o medicinales; adhesivos médicos para suturar heridas; adhesivos médicos para suturar tejidos internos; adhesivos médicos para unir tejido interno; agentes de detoxificación de cloro para fines médicos; alimentos sin gluten adaptados a fines médicos; alimentos y aditivos alimentarios sin gluten, todos adecuados a fines médicos; alimentos y suplementos alimenticios sin gluten, todos adecuados a fines médicos; apósitos médicos y quirúrgicos; barritas nutricionales utilizadas como sustitutos de las comidas para uso médico para pacientes sometidos a tratamientos médicos; bebidas para diabéticos a base de zumos de frutas, adaptadas a fines médicos; carbón activado para la adsorción de toxinas con fines médicos; cereales adaptados para minusválidos con fines dietéticos o médicos; complementos nutricionales a base de almidón, adaptados a fines médicos; desinfectantes para equipos e instrumentos médicos; desinfectantes para equipos e instrumentos médicos y odontológicos; emplastos médicos; medios de contraste para aparatos médicos de ultrasonidos; medios de contraste para equipos médicos; medios de contraste para equipos médicos de imaginología; néctares de frutas para diabéticos, adaptados a fines médicos; parches médicos; parches transdérmicos para tratamientos médicos; preparaciones de diagnóstico para uso en laboratorios médicos; preparados médicos de oligoelementos para uso humano; preparados no médicos de oligoelementos para uso humano; productos dietéticos para usos médicos especiales [dietas equilibradas]; reactivos de diagnóstico para uso en laboratorios médicos; alimentos y bebidas dietéticos para uso médico; alimentos y bebidas dietéticos para uso médico o veterinario; alimentos y bebidas dietéticos para uso veterinario; bebidas a base de hierbas para uso médico; bebidas de electrolito para uso médico; bebidas de electrolitos para uso médico; bebidas de leche malteada en cuanto complementos alimenticios para bebés; bebidas de leche malteada en cuanto complementos alimenticios para minusválidos; bebidas de leche malteada en cuanto suplementos alimenticios para bebés; bebidas de leche malteada en cuanto suplementos alimenticios para minusválidos; bebidas de leche malteada para bebés; bebidas de leche malteada para minusválidos; bebidas de leche malteada para uso médico; bebidas de restitución de electrolitos para uso médico; bebidas dietéticas para bebés para uso médico; bebidas dietéticas para uso médico; bebidas dietéticas para uso veterinario; bebidas enriquecidas con elementos nutricionales para uso médico; bebidas enriquecidas con vitaminas para uso médico; bebidas nutricionales en cuanto complementos alimenticios; bebidas nutricionales en cuanto suplementos alimenticios; bebidas nutricionales enriquecidas con prebióticos para uso dietético; bebidas nutricionales enriquecidas con probióticos para uso dietético; bebidas nutricionales enriquecidas con vitaminas para uso dietético; bebidas nutricionales para uso dietético; bebidas nutricionales para uso médico; bebidas para bebés; bebidas para uso médico; bebidas utilizadas como complementos dietéticos; bebidas utilizadas como sustitutos de las comidas para uso médico; complementos dietéticos en polvo con sabor a frutas para elaborar bebidas; complementos dietéticos para animales de compañía, a saber, bebidas en polvo; complementos vitamínicos en comprimidos que disueltos en agua sirven para elaborar bebidas efervescentes; hierbas y bebidas a base de hierbas para uso médico; mezclas de bebidas dietéticas en cuanto sustitutos de comidas; mezclas de bebidas dietéticas en cuanto sustitutos de comidas para uso nutricional; mezclas de bebidas dietéticas para aumentar el rendimiento deportivo; mezclas de bebidas dietéticas para aumentar el rendimiento deportivo para uso nutricional; mezclas de bebidas dietéticas para el aumento de peso; mezclas de bebidas dietéticas para el aumento de peso para uso nutricional; mezclas de bebidas dietéticas para el control de peso; mezclas de bebidas dietéticas para el control de peso para uso nutricional; mezclas de bebidas dietéticas para la pérdida de peso; mezclas de bebidas dietéticas para la pérdida de peso para uso nutricional; mezclas de bebidas dietéticas para mejorar el rendimiento; mezclas de bebidas dietéticas para mejorar el rendimiento para uso nutricional; mezclas de complementos nutricionales en polvo para bebidas; mezclas nutricionales para bebidas utilizadas como sustitutos de las comidas para uso médico; mezclas para bebidas dietéticas utilizadas como sustitutivos de las comidas, para uso médico; mezclas para bebidas dietéticas utilizadas como sustitutos de comidas para uso médico; mezclas para bebidas en cuanto complementos dietéticos; mezclas para bebidas utilizadas como sustitutos de las comidas para uso médico; mezclas para bebidas utilizadas como sustitutos de las comidas y complementos dietéticos para uso médico; preparaciones para elaborar bebidas dietéticas de uso médico; preparaciones para la producción de bebidas para uso médico; proteína vegana en cuanto complemento nutricional de bebidas listas para beber; proteína vegana en cuanto suplemento nutricional de bebidas listas para beber.
</t>
  </si>
  <si>
    <t>Focus Booster</t>
  </si>
  <si>
    <t>Valentina Gutiérrez Jiménez, Calle 33A N 71-10, MEDELLIN, ANTIOQUIA, CO</t>
  </si>
  <si>
    <t xml:space="preserve">5. Complementos homeopáticos; medicamentos homeopáticos; productos farmacéuticos homeopáticos; complementos dietéticos en forma de polvo; complementos dietéticos en forma líquida.
32. Bebidas sin alcohol fortificadas con vitaminas; preparaciones sin alcohol para elaborar bebidas.
</t>
  </si>
  <si>
    <t xml:space="preserve">Fungisert </t>
  </si>
  <si>
    <t xml:space="preserve"> DFI DESARROLLOS FARMACEUTICOS INNOVADORES SAS, CR 19 # 84-09, BOGOTÁ, D.C., CO</t>
  </si>
  <si>
    <t xml:space="preserve">5. Medicamento tópico antimicótico, dermatólogico para uso en infecciones de piel; Preparaciones farmacéuticas, médicas y veterinarias; preparaciones higiénicas para uso médico; alimentos y sustancias dietéticos para uso médico o veterinario; alimentos para bebés; complementos dietéticos para seres humanos y animales; emplastos, materiales para apósitos; material para el sellado de dientes; cera dental; desinfectantes.
</t>
  </si>
  <si>
    <t>Clipperaide</t>
  </si>
  <si>
    <t>ANASAC COLOMBIA LTDA.</t>
  </si>
  <si>
    <t xml:space="preserve"> King Research International GmbH, Am Sägewerk 1a, BAVARIA, BAVIERA 85107, DE</t>
  </si>
  <si>
    <t xml:space="preserve">3. Paños húmedos para limpiar, desempolvar o lustrar; preparaciones para limpiar cristales; preparaciones para limpiar dentaduras postizas;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fregar y raspar; preparaciones para limpiar, lavar y pulir; preparaciones para limpiar, lustrar y fregar; preparaciones para limpiar, pulir, desengrasar y raspar; preparaciones para limpiar, pulir, fregar y raspar; preparaciones para limpiar, teñir, colorear, decolorar, marcar y peinar el cabello; preparaciones para limpiarse las manos; preparaciones y sustancias para limpiar y lavar; preparaciones y sustancias para limpiar, fregar y pulir; detergentes para uso doméstico con propiedades desinfectantes; lavados no medicinales; preparaciones para el lavado; preparaciones para el lavado para uso doméstico; agentes de limpieza para uso doméstico; agentes y preparaciones de limpieza; espumas de limpieza; líquidos de limpieza; líquidos de limpieza en seco; preparaciones de limpieza; preparaciones de limpieza para cristales; preparaciones de limpieza para el hogar; preparaciones de limpieza para uso doméstico; preparaciones para la limpieza del cabello; productos de limpieza; productos de limpieza en spray; productos de limpieza para uso doméstico; preparaciones de higiene en cuanto productos de tocador; preparaciones higiénicas en cuanto productos de tocador no medicinales; preparaciones sanitarias en cuanto productos de tocador no medicinales; productos cosméticos y de tocador; productos cosméticos y preparaciones de tocador no medicinales; productos de tocador no medicinales; detergente líquido; espumas limpiadoras; limpiadores cosméticos cutáneos; limpiadores cutáneos; limpiadores cutáneos no medicinales; limpiadores de la piel; materiales de chorreado para la limpieza de superficies; preparaciones para la limpieza de superficies duras; jabones cosméticos; jabones de tocador; jabones de tocador no medicinales; jabones desodorizantes; jabones detergentes; jabones líquidos; jabones líquidos no medicinales; jabones líquidos para el baño; jabones líquidos para el cabello y el cuerpo; jabones para uso doméstico; jabones para uso personal; champúes para el cabello; champús 3 en 1; champús capilares; champús corporales; champús no medicinales; champús para el cabello humano; champús y acondicionadores; productos de enjuague para el cabello [champús acondicionadores]; aceites de perfumería; fragancias y productos de perfumería; perfumería y fragancias; productos de perfumería; dentífricos que no sean para uso médico; dentífricos*.
5. Desinfectantes; desinfectantes domésticos; desinfectantes multiuso; desinfectantes para equipos e instrumentos médicos; desinfectantes para equipos e instrumentos médicos y odontológicos; desinfectantes para equipos e instrumentos odontológicos; desinfectantes para instrumental médico; desinfectantes para uso doméstico; desinfectantes para uso sanitario; desinfectantes y antisépticos; esponjas impregnadas con productos químicos desinfectantes para uso en hospitales; esponjas impregnadas con productos químicos desinfectantes para uso en laboratorios; jabones desinfectantes; jabones desinfectantes perfumados; paños desinfectantes; preparaciones desinfectantes para uso doméstico; preparaciones desinfectantes para uso hospitalario; fungicidas; fungicidas para uso doméstico; lavados desinfectantes que no sean jabones; preparados antisépticos para el lavado; productos de limpieza antibacterianos; detergentes germicidas; germicidas; biocidas; preparaciones de tocador medicinales; preparaciones sanitarias de higiene personal que no sean productos de tocador; limpiadoras antisépticas; preparados limpiadores antisépticos; limpiadores antisépticos; sprays antisépticos; sprays antisépticos en forma de aerosol para uso en superficies duras; jabones antibacterianos.
</t>
  </si>
  <si>
    <t xml:space="preserve">PENTASIL </t>
  </si>
  <si>
    <t>FERRING B.V.,</t>
  </si>
  <si>
    <t xml:space="preserve"> ZODIAC INTERNATIONAL CORPORATION, CALLE 50, TORRE GLOBAL PLAZA, 6 PISO PANAMA - REPUBLICA DE PANAMA, PANAMA, PANAMA, PA</t>
  </si>
  <si>
    <t xml:space="preserve">5. Producto farmacéutico de uso humano para el tratamiento de enfermedades y/o afecciones del sistema nervioso, agentes antineoplásicos e inmunomoduladores.
</t>
  </si>
  <si>
    <t>GESTAVET</t>
  </si>
  <si>
    <t>EMPRESA COLOMBIANA DE PRODUCTOS VETERINARIOS S.A VECOL S.A</t>
  </si>
  <si>
    <t xml:space="preserve"> BIOGENESIS BAGO S.A., RUTA PANAMERICANA KM. 38,2 GARIN, PROVINCIA DE BUENOS AIRES - ARGENTINA, PROVINCIA DE BUENOS AIRES, PROVINCIA DE BUENOS AIRES, AR</t>
  </si>
  <si>
    <t xml:space="preserve">5. PRODUCTO VETERINARIO PARA LA REPRODUCCIÓN ANIMAL.
</t>
  </si>
  <si>
    <t>MAÍZ VERMÍFUGO</t>
  </si>
  <si>
    <t xml:space="preserve"> LABORATORIOS ZOO S.A.S., Autopista Medellin Entrada Parque La Florida Km 1 Bodega 10 Terrapuerto Industrial El Dorado, COTA, CUNDINAMARCA, CO</t>
  </si>
  <si>
    <t xml:space="preserve">5. Productos veterinarios, preparaciones para uso veterinario, medicamentos para uso veterinario, remedios para uso veterinario, preparaciones veterinarias, analgésicos para uso veterinario; antibióticos para uso veterinario; medicamentos para uso veterinario; preparaciones antibacterianas para uso veterinario; preparaciones antiinfecciosos para uso veterinario; preparaciones químicas para uso veterinario; preparaciones sanitarias para uso veterinario; productos farmacéuticos, remedios para uso veterinario para el tratamiento de las infestaciones parasitarias.
</t>
  </si>
  <si>
    <t>MI PIEL SALUD Y BELLEZA</t>
  </si>
  <si>
    <t>Mi Piel S.A.S.,</t>
  </si>
  <si>
    <t xml:space="preserve"> DISTRIBUCIONES PROVEMEDICS S.A.S, Calle 60 No 47 - 73, BARRANQUILLA, ATLÁNTICO 08001, CO</t>
  </si>
  <si>
    <t xml:space="preserve">3. Cremas cosméticas; jabones cosméticos.
5. Cremas medicinales; jabones medicinales.
</t>
  </si>
  <si>
    <t>PROFERT PLUS</t>
  </si>
  <si>
    <t>NICOLAS FIERRO IBAGON, calle 131 b 54 21, BOGOTÁ, D.C. 111111, CO</t>
  </si>
  <si>
    <t xml:space="preserve">5. Complementos alimenticios de vitaminas y minerales; preparaciones para aumentar la fertilidad; suplementos alimenticios a base de aminoácidos; suplementos dietéticos y nutricionales; sustancias dietéticas de vitaminas, minerales, aminoácidos y oligoelementos; supplementos alimenticios dietéticos en cápsulas.
</t>
  </si>
  <si>
    <t>ONIS SKIN CARE</t>
  </si>
  <si>
    <t>Ana Maria Rodriguez Fernandez, Calle 5 Sur 37 128, MEDELLIN, ANTIOQUIA, CO</t>
  </si>
  <si>
    <t xml:space="preserve">3. Cosméticos; cosméticos a base de cannabis; emulsiones, geles y lociones para el cuidado de la piel; maquillaje [cosméticos].
5. Geles, cremas y soluciones para uso dermatológico.
</t>
  </si>
  <si>
    <t>REXOVET</t>
  </si>
  <si>
    <t xml:space="preserve">5. Antibióticos para uso veterinario.
</t>
  </si>
  <si>
    <t>Gelitas E.U.</t>
  </si>
  <si>
    <t>GELITA AG</t>
  </si>
  <si>
    <t xml:space="preserve"> EMPRESA GELITAS E.U., CARRERA 9 N° 24A - 35, IPIALES, NARIÑO, CO</t>
  </si>
  <si>
    <t>3, 5, 29</t>
  </si>
  <si>
    <t xml:space="preserve">3. Lociones capilares*.
5. Aceites medicinales para masajes; complementos alimenticios medicinales a base de colágeno; suplementos alimenticios medicinales a base de colágeno.
29. Gelatina*; gelatinas de carne.
</t>
  </si>
  <si>
    <t>SPARTAN MOSQUITO</t>
  </si>
  <si>
    <t xml:space="preserve"> AC2T INC, P.O. Box 18556 Hattiesburg MS 39404, US</t>
  </si>
  <si>
    <t xml:space="preserve">5. Plaguicidas para un dispositivo de erradicación de insectos y plagas de exteriores.
</t>
  </si>
  <si>
    <t>Nembac</t>
  </si>
  <si>
    <t xml:space="preserve"> Andermatt Group AG, Stahlermatten 6 6146 Grossdietwil Switzerland, GROSSDIETWIL, CANTÓN DE LUCERNA, CH</t>
  </si>
  <si>
    <t xml:space="preserve">1. Abonos para el suelo; preparaciones fertilizantes.
5. Fungicidas; pesticidas.
</t>
  </si>
  <si>
    <t>TH THRIVE HEALTHY</t>
  </si>
  <si>
    <t>ANDRES EDUARDO CUESTA ROBERTS, CRA 50 5 173, UNIDAD RESIDENCIAL, CALI, VALLE DEL CAUCA, CO</t>
  </si>
  <si>
    <t xml:space="preserve">5. Suplementos nutricionales en todas las presentaciones; suplementos alimenticios minerales; suplementos dietéticos con efecto cosmético; suplementos vitamínicos líquidos; agentes de administración en forma de recubrimientos de comprimidos que facilitan la administración de suplementos nutricionales; suplementos alimenticios a base de proteínas; suplemento proteico para deportistas; suplementos dietarios y nutricionales.
35. Publicidad; gestión de negocios comerciales; administración comercial; trabajos de oficina; comercialización por Internet.
</t>
  </si>
  <si>
    <t>BioVita by Biosa Colombia</t>
  </si>
  <si>
    <t xml:space="preserve"> BIOSA COLOMBIA S.A.S, SIN ESTABLECER, CALI, VALLE DEL CAUCA, CO</t>
  </si>
  <si>
    <t xml:space="preserve">3. Cosméticos para el cuidado del cuerpo; cosméticos y preparaciones de cuidado personal; cremas cosméticas para el cuidado de la piel; cremas para el cuidado de la piel, no medicinales; cremas y lociones cosméticas para el cuidado del rostro y el cuerpo; emulsiones, geles y lociones para el cuidado de la piel.
5. Aceites para el cuidado de la piel [medicinales]; cremas medicinales para el cuidado de la piel; cremas para el cuidado de la piel, medicinales; preparaciones antisépticas para el cuidado corporal; preparaciones antisépticas para el cuidado del cuerpo; preparaciones medicinales para el cuidado de la piel.
</t>
  </si>
  <si>
    <t>POTMA</t>
  </si>
  <si>
    <t>LILIANA SANIN SANTAMARIA, CALLE 5 NO. 76 A 150, APARTAMENTO 1010, ENVIGADO, ANTIOQUIA, CO</t>
  </si>
  <si>
    <t xml:space="preserve">5. Pociones medicinales; infusiones de hierbas medicinales; infusiones medicinales; bebidas a base de hierbas para uso médico; aerosoles medicinales para uso bucal; aerosoles a base de hierbas para uso médico; aerosoles antibacterianos; aerosoles herbarios para uso médico; aerosoles medicinales; aerosoles medicinales para la garganta; hierbas medicinales; hierbas medicinales secas o conservadas; pomadas antibióticas; pomadas antisépticas; pomadas labiales medicinales; complementos homeopáticos; medicamentos homeopáticos; ungüentos antiinflamatorios homeopáticos; complementos vitamínicos; complementos vitamínicos para productos alimenticios de consumo humano.
</t>
  </si>
  <si>
    <t>ISOLATE GOLD</t>
  </si>
  <si>
    <t xml:space="preserve">5. Suplementos nutricionales en todas las presentaciones; suplementos alimenticios minerales; suplementos dietéticos con efecto cosmético; suplementos vitamínicos líquidos; agentes de administración en forma de recubrimientos de comprimidos que facilitan la administración de suplementos nutricionales, suplementos alimenticios a base de proteínas; suplemento proteico para deportistas; suplementos dietarios y nutricionales.
35. Publicidad; gestión de negocios comerciales; administración comercial; trabajos de oficina, comercialización por Internet.
</t>
  </si>
  <si>
    <t>LIV SHIELD</t>
  </si>
  <si>
    <t>LIBÉRATE DE TODOS LOS SÍNTOMAS DE LA GRIPA</t>
  </si>
  <si>
    <t xml:space="preserve">5. PRODUCTOS FARMACÉUTICOS Y VETERINARIOS; PRODUCTOS HIGIÉNICOS PARA LA MEDICINA; SUSTANCIAS DIETÉTICAS PARA USO MÉDICO, ALIMENTOS PARA BEBÉS; EMPLASTOS, MATERIAL PARA APÓSITOS; MATERIAL PARA EMPASTAR LOS DIENTES Y PARA IMPRONTAS DENTALES; DESINFECTANTES; PRODUCTOS PARA LA DESTRUCCIÓN DE ANIMALES DAÑINOS; FUNGICIDAS, HERBICIDAS.
</t>
  </si>
  <si>
    <t>COVIRAX MCH</t>
  </si>
  <si>
    <t>FARMEX S.A.</t>
  </si>
  <si>
    <t xml:space="preserve"> LABORATORIO MAGNACHEM INTERNATIONAL SRL, Ave. José Francisco Peña Gómez, esquina calle K, Zona Industrial de Haina, SAN CRISTOBAL, SAN CRISTOBAL, DO</t>
  </si>
  <si>
    <t xml:space="preserve">5. Productos farmacéuticos, preparaciones para uso médico y veterinario; productos higiénicos y sanitarios para uso médico; alimentos y sustancias dietéticas para uso médico o veterinario, alimentos para bebés; suplementos alimenticios para personas o animales; emplastos, material para apósitos; material para empastes e impresiones dentales; desinfectantes; productos para eliminar animales dañinos; fungicidas, herbicidas.
</t>
  </si>
  <si>
    <t>TODO EN UNO</t>
  </si>
  <si>
    <t xml:space="preserve">5. Complementos alimenticios en polvo a base de proteinas.
</t>
  </si>
  <si>
    <t>CLORMAG</t>
  </si>
  <si>
    <t>CALMAFULL FARMET</t>
  </si>
  <si>
    <t>LABORATORIOS OSA</t>
  </si>
  <si>
    <t xml:space="preserve"> FARMET DISTRIBUCIONES S.A.S, cra 73b bis 3 52Calle 124 57 45 Apartamento 206 Torre 3 BOGOTÁ D.C. , BOGOTA, CUNDINAMARCA 111171, CO</t>
  </si>
  <si>
    <t>HISDEX FARMET</t>
  </si>
  <si>
    <t>40UPROS</t>
  </si>
  <si>
    <t>LABORATORIOS INCOBRA</t>
  </si>
  <si>
    <t xml:space="preserve"> FSA NATURAL S.A.S. FSAN SAS , CALLE 37 # 35 - 3 PISO 2 BARRIO EL PRADO , BUCARAMANGA, SANTANDER, CO</t>
  </si>
  <si>
    <t xml:space="preserve">5.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 vegana en cuanto suplemento nutricional de bebidas listas para beber;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compuestos de aminoácidos;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compuestos principalmente de magnesio; suplementos nutricionales compuestos principalmente de zinc;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t>
  </si>
  <si>
    <t>AGE CLINIQUE</t>
  </si>
  <si>
    <t>Clinique Laboratories, LLC.,</t>
  </si>
  <si>
    <t xml:space="preserve"> SATORI MEDICAL S.A.S., CALLE 7 SUR NO. 39 107, MEDELLIN, ANTIOQUIA, CO</t>
  </si>
  <si>
    <t xml:space="preserve">3. Productos de limpieza y de tocador no medicinales. Productos cosméticos como jabones no medicinales; productos de perfumería, aceites esenciales, cosméticos no medicinales, lociones capilares no medicinales; dentífricos no medicinales. Productos capilares, corporales y faciales cosméticos, no medicinales.
5. Productos farmacéuticos, productos higiénicos y sanitarios para uso médico; alimentos y sustancias dietéticas para uso médico; complementos nutricionales para seres humanos. Productos capilares, corporales y faciales medicinales.
44. Servicios médicos. Consulta médica especializada. Cirugía y procedimientos estéticos. Tratamientos para el rostro, el cabello y el cuerpo como tratamientos anti envejecimiento, rejuvenecimiento facial, peeling; tratamientos para el acné y la mejoría de manchas; microdermoabrasión; armonización facial; mesoterapia; rellenos faciales; aplicación de hilos PDO e hilos tensores; aplicación de toxina botulínica. Armonización de cicatrices; Armonización de glúteos; radiofrecuencia y ultrasonido. Tratamiento para la reducción de grasa localizada; tratamientos médicos para la reestructuración de tejidos. Servicios de análisis médicos prestados por laboratorios médicos con fines diagnósticos y terapéuticos. Asesoramiento sobre dietética y nutrición. Medicina biológica.
</t>
  </si>
  <si>
    <t>PALTON</t>
  </si>
  <si>
    <t>ZIPAB</t>
  </si>
  <si>
    <t>Flebinol</t>
  </si>
  <si>
    <t>LISETH VANESSA ARANA LOPEZ, CLL 93 #7 SUR 59 TORRE 5 - AP 404, IBAGUE, TOLIMA, CO</t>
  </si>
  <si>
    <t xml:space="preserve">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35. Publicidad; gestión de negocios comerciales; administración comercial; trabajos de oficina.
</t>
  </si>
  <si>
    <t>RANCONA CREST</t>
  </si>
  <si>
    <t xml:space="preserve"> UPL MAURITIUS LIMITED, 6th Floor, Suite 157B
Harbor Front Building
President John Kennedy Street
Port Louis, MU</t>
  </si>
  <si>
    <t xml:space="preserve">1. Productos químicos para su uso en la industria, así como en la agricultura, horticultura y silvicultura; resinas artificiales sin procesar, plásticos sin procesar; sustancias para curtir pieles y pieles de animales; abono, abonos, fertilizantes; preparaciones biológicas para su uso en la industria y la ciencia.
5. Herbicidas, pesticidas, insecticidas, fungicidas, vermicidas, rodenticidas, herbicidas, preparaciones para matar malezas y destruir alimañas.
</t>
  </si>
  <si>
    <t>ALCANEL</t>
  </si>
  <si>
    <t xml:space="preserve">5. Herbicidas, pesticidas, insecticidas, fungicidas, vermicidas, rodenticidas, herbicidas, preparaciones para matar malezas y destruir alimañas.
</t>
  </si>
  <si>
    <t>BIONSE</t>
  </si>
  <si>
    <t>BIOSIDUS S.A.</t>
  </si>
  <si>
    <t>ARTYS</t>
  </si>
  <si>
    <t>HEILEN medical apparel</t>
  </si>
  <si>
    <t>CARLOS EDUARDO QUIROGA RODRIGUEZ</t>
  </si>
  <si>
    <t>LUISA  LOPERA BOTERO, Calle 10 A # 10-190, MEDELLIN, ANTIOQUIA, CO</t>
  </si>
  <si>
    <t>5, 10, 25</t>
  </si>
  <si>
    <t xml:space="preserve">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10. Aparatos e instrumentos quirúrgicos, médicos, odontológicos y veterinarios; miembros, ojos y dientes artificiales; artículos ortopédicos; material de sutura; dispositivos terapéuticos y de asistencia para personas discapacitadas; aparatos de masaje; gorros quirúrgicos; batas de exámen desechables para pacientes; batas de exámen para pacientes; batas de laboratorio para uso quirúrgico; batas de reconocimiento desechables para pacientes; batas de reconocimiento para pacientes; batas médicas de aislamiento; batas para personal médico; batas para uso médico; batas para uso quirúrgico; batas quirúrgicas; batas quirúrgicas desechables; batas quirúrgicas reutilizables; ropa de protección desechable para uso médico; ropa de protección para uso médico; ropa de protección para uso quirúrgico; ropa de protección reutilizable para uso médico; ropa especial para quirófano; ropa esterilizada para uso médico; ropa esterilizada para uso quirúrgico; ropa quirúrgica.
25. Prendas de vestir, calzado, artículos de sombrerería; uniformes; uniformes para personal de enfermería; gorros; batas de laboratorio; batas de laboratorio para uso en hospitales; batas de laboratorio para uso en los hospitales; batas de laboratorio para uso hospitalario.
</t>
  </si>
  <si>
    <t>ALISTON</t>
  </si>
  <si>
    <t xml:space="preserve">5. Productos farmacéuticos veterinarios.
</t>
  </si>
  <si>
    <t>ROUGE</t>
  </si>
  <si>
    <t xml:space="preserve">1. Productos químicos para la agricultura, la horticultura y la silvicultura; abonos para el suelo, fertilizantes, productos fertilizantes.
5. Fungicidas, herbicidas, insecticidas, adyuvantes.
</t>
  </si>
  <si>
    <t xml:space="preserve"> AstraZeneca UK Limited, 1 Francis Crick Avenue, Cambridge Biomedical Campus, CAMBRIDGE, INGLATERRA CB2 0AA, GB</t>
  </si>
  <si>
    <t xml:space="preserve">5. Preparaciones y sustancias farmacéuticas.
</t>
  </si>
  <si>
    <t>A Ádala</t>
  </si>
  <si>
    <t xml:space="preserve"> NUTRACTIVA S.A.S., CALLE 24A 57 69, BOGOTÁ, D.C. 111321, CO</t>
  </si>
  <si>
    <t xml:space="preserve">5.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bebidas medicinales en la forma de suplementos dietéticos para la desintoxicación del colon; bebidas medicinales en la forma de suplementos dietéticos para la desintoxicación del hígado; bebidas nutricionales en cuanto suplementos alimenticios; preparaciones y suplementos nutricionales para la salud; preparaciones y suplementos para la salud; productos dietéticos y suplementos nutricionales para uso médico; proteína vegana en cuanto suplemento nutricional de bebidas listas para beber; suplementos alimenticios; suplementos alimenticios a base de aminoácidos; suplementos alimenticios a base de caseína; suplementos alimenticios a base de enzimas; suplementos alimenticios a base de minerales; suplementos alimenticios a base de oligoelementos; suplementos alimenticios a base de proteínas; suplementos alimenticios a base de proteínas vegetales en forma de polvo;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humanos; suplementos alimenticios para personas; suplementos alimenticios para seres humanos; suplementos alimenticios para uso farmacéutico; suplementos alimenticios probióticos; suplementos alimenticios probióticos en cápsulas; suplementos alimenticios proteicos en polvo; suplementos alimenticios que no sean para uso médico; suplementos de hierbas líquidos; suplementos de oligoelementos para productos alimenticios de consumo humano; suplementos de proteínas para personas; suplementos de proteínas para seres humanos; suplementos de vitaminas para productos alimenticios de consumo humano; suplementos dietéticos; suplementos dietéticos a base de aminoácidos;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carbón activado; suplementos dietéticos de ácido fólico; suplementos dietéticos en forma de polvo; suplementos dietéticos en forma líquida;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productos alimenticios de consumo humano; suplementos y preparaciones dietéticas; suplementos y preparaciones nutricionales; vitaminas, minerales y antioxidantes en cuanto suplementos nutricionales y dietéticos.
</t>
  </si>
  <si>
    <t>BORDUS</t>
  </si>
  <si>
    <t>UNIHEALTH COLOMBIA S.A.S.</t>
  </si>
  <si>
    <t xml:space="preserve"> UNIHEALTH COLOMBIA SAS, Cra 8 No. 81 - 20 apto 303, BOGOTÁ, D.C., CO</t>
  </si>
  <si>
    <t>5, 9, 10, 42</t>
  </si>
  <si>
    <t xml:space="preserve">5. Productos farmacéuticos; productos farmacéuticos, preparaciones para uso médico y veterinario; productos higiénicos y sanitarios para uso médico.
9. Programas informáticos y software.
10. Aparatos e instrumentos quirúrgicos, médicos, odontológicos y veterinarios.
42. Diseño y desarrollo de equipos informáticos y de software.
</t>
  </si>
  <si>
    <t>CUPERTRON</t>
  </si>
  <si>
    <t>THIOPRON</t>
  </si>
  <si>
    <t>PROSTICK</t>
  </si>
  <si>
    <t>HANSEANDINA DEUTSCHLAND GMBH</t>
  </si>
  <si>
    <t>OXIVIR</t>
  </si>
  <si>
    <t xml:space="preserve"> Diversey, Inc., 1300 Altura Road, Suite 125, Fort Mill, SC 29708, Estados Unidos de America , FORT MILL, SOUTH CAROLINA, US</t>
  </si>
  <si>
    <t xml:space="preserve">3. Preparados de limpieza y pulido para uso en superficies duras en entornos comerciales, industriales e institucionales.
5. Desinfectantes y sanitizantes para uso en superficies duras en entornos comerciales, industriales e institucionales.
</t>
  </si>
  <si>
    <t>Terra Vital Vida y Bienestar en un solo lugar...</t>
  </si>
  <si>
    <t>Jose Nicolas  Caro Pinto , Calle 74a#83-15, BOGOTA, CUNDINAMARCA, CO</t>
  </si>
  <si>
    <t xml:space="preserve">5. Colágeno para uso médico; complementos alimenticios medicinales a base de colágeno; suplementos alimenticios medicinales a base de colágeno.
</t>
  </si>
  <si>
    <t>COSMIC STARDUST</t>
  </si>
  <si>
    <t xml:space="preserve"> Alani Nutrition LLC, 7201 Intermodal Drive, Suite A, LOUISVILLE, KENTUCKY 40258, US</t>
  </si>
  <si>
    <t xml:space="preserve">5. Suplementos nutricionales; mezcla de bebida de suplemento nutricional en polvo que contiene proteínas; suplementos dietéticos; batidos de suplementos proteicos; suplementos de proteína de suero de leche; suplementos dietéticos para antes del entrenamiento; suplementos dietéticos para después del entrenamiento; suplementos dietéticos proteicos formados y envasados en forma de barritas; suplementos proteicos formados y envasados en forma de barritas.
32. Agua con gas; bebidas energizantes; bebidas deportivas; polvos usados en la preparación de bebidas deportivas isotónicas y bebidas deportivas; bebidas proteicas.
</t>
  </si>
  <si>
    <t>Salüs</t>
  </si>
  <si>
    <t>JESSICA DANIELA TORRES QUINTERO, calle 18 bis #23-21 Barrio Boston, PEREIRA, RISARALDA, CO</t>
  </si>
  <si>
    <t xml:space="preserve">5. Suplementos alimenticios dietéticos en forma de polvo; suplementos alimenticios dietéticos en forma de gránulos; suplementos alimenticios dietéticos en polvo; suplementos alimenticios a base de yacón; suplementos alimenticios a base de proteínas; suplementos alimenticios a base de proteínas vegetales en forma de polvo; suplementos alimenticios antioxidantes; suplementos alimenticios compuestos de aminoácidos; suplementos alimenticios dietéticos; suplementos alimenticios para seres humanos; suplementos alimenticios probióticos; suplementos alimenticios proteicos en polvo; suplementos alimenticios en polvo a base de proteinas; suplementos alimenticios minerales; suplementos alimenticios para humanos; suplementos alimenticios para personas; suplementos alimenticios minerales para seres humanos; proteínas de suero de leche [suplementos alimenticios]; proteínas de suero de leche en cuanto suplementos alimenticios; suplementos alimenticios; suplementos alimenticios a base de minerales; suplementos alimenticios a base de oligoelementos; suplementos alimenticios a base de aminoácidos.
</t>
  </si>
  <si>
    <t>Bonn Pharmaceutical</t>
  </si>
  <si>
    <t>Maria Alejandra Castillo Rios, calle 74a#113a-29, BOGOTA, CUNDINAMARCA 111031, CO</t>
  </si>
  <si>
    <t>3, 5, 30, 35</t>
  </si>
  <si>
    <t>Hexident</t>
  </si>
  <si>
    <t>ISDIN S.A.</t>
  </si>
  <si>
    <t>Laura Manuela García Rodríguez, Calle 147 # 11 - 89, BOGOTÁ, D.C. 110131 , CO</t>
  </si>
  <si>
    <t xml:space="preserve">5. Enjuagues bucales antisépticos; enjuagues bucales medicinales.
</t>
  </si>
  <si>
    <t>Fitotec</t>
  </si>
  <si>
    <t>halsa</t>
  </si>
  <si>
    <t>Anya Gabriela Medina Garcia, calle 45 69-43 apto 1-401, CALI, VALLE DEL CAUCA, VALLE DEL CAUCA 760024, CO</t>
  </si>
  <si>
    <t xml:space="preserve">5. Fibras de semillas de lino molidas utilizadas como complementos dietéticos; bebidas nutricionales en cuanto suplementos alimenticios.
</t>
  </si>
  <si>
    <t>CINETIC</t>
  </si>
  <si>
    <t>GERBER POWER BLEND</t>
  </si>
  <si>
    <t xml:space="preserve">5. Alimentos y substancias alimenticias formuladas para bebés; preparaciones alimenticias para bebés de uso médico; harinas lacteadas para bebés de uso médico.
29. Alimentos preparados hechos a base de verduras, papas, fruta, carne, aves de corral, pecado y/o productos alimenticios provenientes del mar; frutas y verduras, hortalizas y legumbres en conserva, congeladas, secas y cocidas; puré de verduras; puré de frutas.
30. Preparaciones y bebidas hechas a partir de cereales incluidos en esta clase; cereales listos para comer; preparaciones de cereales; productos alimenticios hechos de arroz, de harina o de cereales, también bajo la forma de platos cocinados.
</t>
  </si>
  <si>
    <t>MOR</t>
  </si>
  <si>
    <t>JUAN DIEGO BONILLA OROZCO, Cra. 1 B # 42B-85  Edificio Mirador de Santa Helena, IBAGUE, TOLIMA, CO</t>
  </si>
  <si>
    <t>LAENNEC</t>
  </si>
  <si>
    <t>JAPAN BIO PRODUCTS CO., LTD.,</t>
  </si>
  <si>
    <t xml:space="preserve"> V LIFT PRO INTERNATIONAL S.L., Av Pais Valencia, 17 - Villajoyosa - Alicante – España, VILLAJOYOSA, ALICANTE, ES</t>
  </si>
  <si>
    <t xml:space="preserve">5. Agentes hechos de placenta, a saber, agentes para mejorar la función del hígado, agentes cardiovasculares, agentes que afectan los órganos digestivos; Medicamentos para los órganos sensoriales; Agentes que afectan el sistema nervioso central; Proteína para propósitos médicos; Reactivos químicos para fines médicos o veterinarios; Agentes que afectan el metabolismo; Preparaciones biológicas; Preparaciones antibióticas y suplementos nutricionales.
</t>
  </si>
  <si>
    <t>Natural Gastrok</t>
  </si>
  <si>
    <t xml:space="preserve"> NATURAL VETERINARY SAS, Calle 99ª No. 60 - 91 , BOGOTÁ, D.C., CO</t>
  </si>
  <si>
    <t xml:space="preserve">5. Suplementos alimenticios para animales; suplementos de proteínas para animales; suplementos dietéticos para animales; suplementos dietéticos para animales; suplementos (medicinales) para alimentos de animales; suplementos medicinales para; animales; sustancias y preparados veterinarios; productos farmacéuticos para fines; veterinarios; productos y sustancias veterinarios.
</t>
  </si>
  <si>
    <t>ALLEVIUM</t>
  </si>
  <si>
    <t>MARIANA ANGEL GARCIA, CRA 18 C # 118 - 76 APTO 104, BOGOTÁ, D.C., CO</t>
  </si>
  <si>
    <t>SOMNIUM</t>
  </si>
  <si>
    <t xml:space="preserve">RUFEX GADOR </t>
  </si>
  <si>
    <t xml:space="preserve">5. Productos farmacéuticos y preparaciones para uso médico en humanos, productos higiénicos y sanitarios para uso humano, alimentos y sustancias dietéticas para uso médico en humanos, alimentos para bebés; complementos alimenticios para personas.; Se excluye expresamente cualquier producto de la clase 5 destinado a uso oftálmico y quirúrgico y los productos veterinarios.
</t>
  </si>
  <si>
    <t>POWER BOOST</t>
  </si>
  <si>
    <t>Savvy Corp S.A.S</t>
  </si>
  <si>
    <t>Luisa Fernanda Álvarez Arcila, Cra 25 # 9-74, LA CEJA, ANTIOQUIA 055010, CO</t>
  </si>
  <si>
    <t xml:space="preserve">5.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t>
  </si>
  <si>
    <t>MELODOL</t>
  </si>
  <si>
    <t xml:space="preserve"> LABORATORIOS CHALVER DE COLOMBIA S.A., Avenida Carrera 68 N° 37 B - 31 Sur, BOGOTÁ, D.C., CO</t>
  </si>
  <si>
    <t xml:space="preserve">5. Productos Veterinarios con indicación Analgésico - antinflamatorio.
</t>
  </si>
  <si>
    <t>ORIGENOIL</t>
  </si>
  <si>
    <t>Manuela Castro Agudelo, El Retiro Vereda pantanillo km4, RETIRO, ANTIOQUIA, CO</t>
  </si>
  <si>
    <t>VEYCON</t>
  </si>
  <si>
    <t>BASF SE</t>
  </si>
  <si>
    <t xml:space="preserve"> CAC COLOMBIA CROPSCIENCES SAS, CR 58 NO. 45 A 29 OF 201, BOGOTÁ, D.C., CO</t>
  </si>
  <si>
    <t>nutgen</t>
  </si>
  <si>
    <t>Daniela Parada Perez, Calle 187 46 55  casa 45, BOGOTÁ, D.C. 111166, CO</t>
  </si>
  <si>
    <t xml:space="preserve">5. Complementos alimenticios; complementos alimenticios a base de aminoácidos; complementos alimenticios a base de minerales; complementos alimenticios a base de polen; complementos alimenticios a base de proteínas; complementos alimenticios a base de proteínas de soja; complementos alimenticios antioxidantes; complementos alimenticios en polvo a base de proteinas; complementos alimenticios minerales; complementos alimenticios para humanos; complementos alimenticios para personas; complementos alimenticios para personas o animales; complementos alimenticios proteicos en polvo.
</t>
  </si>
  <si>
    <t>ZINFLUMY</t>
  </si>
  <si>
    <t>Sumitomo Chemical Company, Limited,</t>
  </si>
  <si>
    <t>LYPO C</t>
  </si>
  <si>
    <t xml:space="preserve"> LivOn Laboratories, Inc., 2566 Williamsburg Street, , HENDERSON, NEVADA 89052, US</t>
  </si>
  <si>
    <t xml:space="preserve">5. Vitaminas; multivitaminas; complementos vitamínicos; preparaciones de vitaminas; preparaciones que contienen vitaminas; suplementos nutricionales líquidos; suplementos alimenticios; aditivos alimenticios vitamínicos; complementos minerales; suplementos alimenticios minerales; complementos homeopáticos; suplementos nutricionales; suplementos nutricionales en forma de barritas alimenticias; suplementos dietéticos; mezclas para bebidas en cuanto complementos dietéticos; mezclas para bebidas utilizadas como sustitutos de las comidas.
35. Servicios de tiendas de venta en línea, mayorista y minorista que ofrece vitaminas, pastillas de vitaminas, multivitaminas, complementos vitamínicos, preparaciones de vitaminas, preparaciones que contienen vitaminas, aditivos alimenticios vitamínicos, suplementos alimenticios, suplementos alimenticios minerales, complementos homeopáticos, suplementos nutricionales, suplementos nutricionales en forma de barritas alimenticias, suplementos dietéticos, mezclas para bebidas en cuanto complementos dietéticos, mezclas para bebidas utilizadas como sustitutos de las comidas, té, cacao y café artificial, arroz, harinas y preparaciones a base de cereales, pan, productos de pastelería y confitería, hielo (agua congelada), cereales para el desayuno, refrigerios, o ingredientes para preparar alimentos, sémola de avena, muesli, refrigerios a base de cereales, refrigerios a base de granos, galletas saladas [crackers], galletas, barras de cereales, barritas alimenticias a base de cereales, barritas de granola, bolsas de té, infusiones (que no sean para uso médico), infusiones de hierbas, aguas minerales y gaseosas, y otras bebidas sin alcohol, bebidas a base de frutas y zumos de frutas, siropes y otras preparaciones para elaborar bebidas, bebidas isotónicas, bebidas aromatizadas con frutas, bebidas a base de frutas, bebidas enriquecidas con proteínas para deportistas, bebidas para deportistas, bebidas deportivas mejoradas con nutrientes, bebidas de rendimiento mejoradas con nutrientes, bebidas energéticas, concentrados para elaborar refrescos, polvos utilizados en la preparación de bebidas isotónicas para deportistas, bebidas para deportistas, aguas potables, aguas potables con vitaminas, y bebidas hidratantes.
</t>
  </si>
  <si>
    <t>ECONCIENCIA BIENESTAR 100% NATURAL</t>
  </si>
  <si>
    <t xml:space="preserve"> ACEITES ESENCIALES MIGUEL ABRIL 2 S.A.S, Cr 70 A Bis # 1 40, BOGOTÁ, D.C., CO</t>
  </si>
  <si>
    <t xml:space="preserve">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En especial, productos fitoterapéuticos medicinales a base de productos naturales, en presentaciones como: jarabe, gel, crema y/o cápsulas.
</t>
  </si>
  <si>
    <t xml:space="preserve">ATHLET+^ PROTEIN </t>
  </si>
  <si>
    <t>Laboratorios Ecar S.A.,</t>
  </si>
  <si>
    <t xml:space="preserve"> GLOBAL INTERNATIONAL MEDICINE S.A.S GIMED S.A.S, CARRERA 53 # 59 -37, BARRANQUILLA, ATLÁNTICO, CO</t>
  </si>
  <si>
    <t xml:space="preserve">5. Medicamentos de venta libre; medicamentos fitoterapéuticos para el consumano animal; medicamentos fitoterapéuticos para el consumo humano; medicamentos para uso humano; medicamentos sin receta; productos dietéticos y suplementos nutricionales para uso médico; proteínas de suero de leche [suplementos alimenticios]; proteínas de suero de leche en cuanto suplementos alimenticios; suplementos alimenticios; alimentos y bebidas dietéticos para uso médico; suplementos minerales para alimentos; suplementos nutricionales para alimentos de animales para uso médico; aislados de proteína de suero de leche [suplementos dietéticos]; concentrados de proteína de suero de leche [complementos dietéticos]; hidrolizados de proteína de suero de leche en cuanto complementos dietéticos; hidrolizados de proteína de suero de leche en cuanto suplementos dietéticos; proteínas de suero [complementos dietéticos]; proteínas de suero de leche [complementos alimenticios]; proteínas de suero de leche [complementos nutricionales]; proteínas de suero de leche [suplementos dietéticos]; proteínas de suero de leche [suplementos nutricionales]; proteínas de suero de leche en cuanto suplementos dietéticos; aminoácidos para uso médico; complementos alimenticios a base de aminoácidos; complementos alimenticios compuestos de aminoácidos; complementos alimenticios para uso médico a base de aminoácidos, minerales y oligoelementos; complementos dietéticos a base de aminoácidos; preparaciones de aminoácidos para uso médico; preparaciones de aminoácidos para uso veterinario; sustancias dietéticas de vitaminas, minerales, aminoácidos y oligoelementos; sustancias dietéticas de vitaminas, minerales, aminoácidos y oligoelementos, ya sean por separado o combinadas.
</t>
  </si>
  <si>
    <t>COLOMBIAN GREEN FARM PSYMED - ECORGANIC</t>
  </si>
  <si>
    <t>Laura Daniela Rodríguez Mesa, Carrera 7C BIS 141a - 27 , BOGOTÁ, D.C., CO</t>
  </si>
  <si>
    <t xml:space="preserve">5. Extractos de plantas medicinales.
31. Semillas; semillas para la agricultura; semillas para la horticultura; semillas para plantar; semillas para siembra; semillas para uso agrícola; semillas sin procesar; semillas sin procesar para uso agrícola.
</t>
  </si>
  <si>
    <t>BIODOLL-OVER</t>
  </si>
  <si>
    <t xml:space="preserve">3. Esencias y aceites etéreos; esencias etéreas; aceites aromáticos; aceites aromáticos para el baño; aceites brillantes para el cuerpo; aceites de aromaterapia; aceites de baño no medicinales; aceites de cáñamo a base de cbd para uso cosmético; aceites de ducha a base de cáñamo; aceites de masaje, no medicinales; aceites esenciales; aceites esenciales a base de cáñamo; aceites esenciales naturales; aceites esenciales para uso cosmético; aceites etéreos; aceites no medicados.
5. Extractos de plantas medicinales; medicinas homeopáticas.
</t>
  </si>
  <si>
    <t>NEO-FÁRMACO</t>
  </si>
  <si>
    <t xml:space="preserve"> LABORATORIO NEOFARMACO DEL ECUADOR NEOFARMACO CIA. LTDA., ATAHUALPA Y NOBOA CAAMAÑO, AMBATO, TUNGURAHUA, EC</t>
  </si>
  <si>
    <t xml:space="preserve">3. Productos cosméticos y preparaciones de tocador no medicinales; dentífricos no medicinales; productos de perfumería, aceites esenciales; preparaciones para blanquear y otras sustancias para lavar la ropa; preparaciones para limpiar, pulir, desengrasar y raspar.
5. Productos farmacéuticos, preparaciones para uso médico y veterinario; productos higiénicos y sanitarios para uso médico; alimentos y sustancias dietéticas para uso médico o veterinario, alimentos para bebés; suplementos alimenticios para personas o animales; emplastos, material para apósitos; material para empastes e impresiones dentales; desinfectantes; productos para eliminar animales dañinos; fungicidas, herbicidas.
</t>
  </si>
  <si>
    <t>PEARLS</t>
  </si>
  <si>
    <t>EMMANUEL YESID  OVIEDO DORIA, Calle 151 # 117 - 21 Apto 102 , BOGOTA, CUNDINAMARCA, CO</t>
  </si>
  <si>
    <t>IPETPLACE EL SITIO DE TU MASCOTA</t>
  </si>
  <si>
    <t>Camilo Andres Torrado Amaya, Carrera 27# 2-09 , BOGOTÁ, D.C. 110010, CO</t>
  </si>
  <si>
    <t>3, 5, 16, 18, 20, 21, 25, 28, 31, 35, 41, 42, 43, 44, 45</t>
  </si>
  <si>
    <t xml:space="preserve">3. Cosméticos para animales; preparaciones para el cuidado y limpieza de los animales; cosméticos ecológicos.
5. Aditivos alimentarios medicinales para uso veterinario; alimentos complementarios para uso veterinario; alimentos dietéticos para uso veterinario; alimentos y bebidas dietéticos para uso médico o veterinario; alimentos y bebidas dietéticos para uso veterinario; anticuerpos para uso veterinario; complementos alimenticios para animales de uso veterinario; complementos alimenticios para uso farmacéutico y veterinario; complementos alimenticios para uso veterinario; alimentos medicinales para animales; champús medicinales para animales de compañía; complementos alimenticios para animales; medicamentos de prevención contra los nematodos parásitos de animales de compañía; pañales desechables para animales de compañía; pañales para animales de compañía; preparaciones farmacéuticas para animales; suplementos nutricionales para alimentos de animales para uso médico.
16. Bolsas de plástico para excrementos de animales de compañía.
18. Abrigos para animales; arneses para animales de compañía; collares, correas y ropa para animales; ropa para animales.
20. Camas para animales de compañía; huesos de animales en bruto o semielaborados; mesas para el aseo de animales de compañía.
21. Bandejas higiénicas para animales de compañía.
25. Uniformes; uniformes para personal de enfermería.
28. Accesorios para animales de juguete; juguetes para animales de compañía.
31. Alimentos para animales; animales vivos; arena sanitaria para animales; galletas para animales; golosinas comestibles para animales de compañía; productos alimenticios para animales; virutas de madera para camas de animales.
35. Servicios de tiendas mayoristas en línea de artículos de cama para animales; servicios de tiendas mayoristas en línea de instrumentos higiénicos para animales; servicios de tiendas mayoristas en línea de piensos para animales; servicios de venta mayorista de artículos de cama para animales; servicios de venta mayorista de piensos para animales; gestión empresarial de consultas veterinarias.
41. Escuelas de adiestramiento de animales; servicios de granjas de animales domésticos y silvestres.
42. Servicios de laboratorios veterinarios.
43. Servicios de hoteles para animales de compañía.
44. Servicios de análisis veterinarios con fines diagnósticos o terapéuticos; servicios de análisis veterinarios con fines diagnósticos o tratamientos; servicios de análisis veterinarios con fines terapéuticos; servicios de análisis veterinarios con fines tratamientos; servicios de cuidado de animales de compañia [servicios médicos, veterinarios y de aseo]; servicios de cuidado de mascotas [servicios médicos, veterinarios y de aseo]; servicios médicos y veterinarios; servicios veterinarios; servicios veterinarios y suministro de información al respecto; suministro de información en línea en materia de servicios veterinarios; suministro de información sobre servicios veterinarios; análisis de laboratorio relacionados con el tratamiento de animales; cuidados de higiene y de belleza para animales; identificación de animales; servicios de aseo para animales de compañía; servicios de salud y de belleza para animales; servicios de salón de belleza para animales de compañia; cirugía veterinaria; odontología veterinaria; servicios de cirugía veterinaria; servicios de información médica y veterinaria prestados por internet.
45. Servicios de adopción de animales.
</t>
  </si>
  <si>
    <t>ACVALON</t>
  </si>
  <si>
    <t>AVALON PHARMACEUTICAL S.A</t>
  </si>
  <si>
    <t xml:space="preserve"> OSHER BIOTECNOLOGICA S.A.S., Calle 166 # 18-70, BOGOTÁ, D.C., CO</t>
  </si>
  <si>
    <t xml:space="preserve">5. Medicamentos; medicamentos autónomos para uso médico; medicamentos para uso humano.
</t>
  </si>
  <si>
    <t>CYTABINA</t>
  </si>
  <si>
    <t>CIPLA LIMITED</t>
  </si>
  <si>
    <t>AGROEXPERTO</t>
  </si>
  <si>
    <t>Corporación de Ferias y Exposiciones S.A. Usuario Operador de Zona Franca Beneficio e Interés Colectivo,</t>
  </si>
  <si>
    <t xml:space="preserve"> LIVE SYSTEMS TECHNOLOGY S.A. LST S.A., CALLE 18 NO. 68D-38, BOGOTÁ, D.C., CO</t>
  </si>
  <si>
    <t xml:space="preserve">1. Productos químicos para la industria, la agricultura, la horticultura y la silvicultura; Proteger plantas de agentes patógenos, evitar y/o prevenir infecciones patógenas en las plantas.
5. Productos para eliminar animales dañinos; fungicidas, herbicidas; preparación química para infecciones patógenas en las plantas.
</t>
  </si>
  <si>
    <t>AMBITRA</t>
  </si>
  <si>
    <t>MEGALABS USA LLC,</t>
  </si>
  <si>
    <t xml:space="preserve"> JOHNSON &amp; JOHNSON, One Johnson &amp; Johnson Plaza, New Brunswick, New Jersey 08933, NEW BRUNSWICK, NEW JERSEY, US</t>
  </si>
  <si>
    <t xml:space="preserve">1. Bioestimulantes; fertilizantes; reguladores del crecimiento de plantas para uso agrícola; nutrientes para el crecimiento de las plantas; preparaciones para regular el crecimiento de las plantas; sustancias para regular el crecimiento de las plantas.
5. Fungicidas.
</t>
  </si>
  <si>
    <t>nutritech</t>
  </si>
  <si>
    <t>Nutritec S.A.S.,</t>
  </si>
  <si>
    <t xml:space="preserve">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Champú para el crecimiento del cabello; estimulantes para el crecimiento del cabello; preparaciones medicinales para el crecimiento del cabello; preparaciones para eliminar los piojos del cabello; preparaciones para eliminar piojos del cabello;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animales de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t>
  </si>
  <si>
    <t>RVSH Z</t>
  </si>
  <si>
    <t xml:space="preserve"> MONEYMAKER, S.C., Av. Insurgentes Sur #605 interior 502, Colonia Nápoles, DEL BENITO JUÁREZ, CIUDAD DE MEXICO 06100, MX</t>
  </si>
  <si>
    <t xml:space="preserve">5. Suplementos alimenticios; complementos nutricionales en polvo para elaborar bebidas; preparados de mezclas y vitaminas en gel.
</t>
  </si>
  <si>
    <t>CTRL Z</t>
  </si>
  <si>
    <t>COLAGENVID</t>
  </si>
  <si>
    <t>Manuela  Díaz Montoya, CL 32 EE 80C 56 AP 302, MEDELLIN, ANTIOQUIA 050031, CO</t>
  </si>
  <si>
    <t xml:space="preserve">5. Alimentos dietéticos para uso médico; alimentos para niños; alimentos para niños pequeños; complementos a base de hierbas; complementos alimenticios; complementos alimenticios de vitaminas y minerales; complementos alimenticios dietéticos; complementos alimenticios medicinales a base de colágeno; complementos alimenticios para humanos; complementos alimenticios para personas; complementos dietéticos en forma de polvo; complementos dietéticos en forma líquida; complementos dietéticos y nutricionales; complementos homeopáticos; complementos minerales; complementos nutricionales; complementos nutricionales líquidos; complementos nutricionales y alimenticios; medicamentos de venta libre; medicamentos herbarios; medicamentos homeopáticos; medicamentos líquidos; medicamentos sin prescripción médica; medicinas herbarias; medicinas homeopáticas; medicinas líquidas; multivitaminas; multivitamínicos; preparaciones de vitaminas y minerales; preparaciones de vitaminas*; preparaciones farmacéuticas para personas; preparaciones medicinales; productos farmacéuticos; productos farmacéuticos homeopáticos; suplementos alimenticios para humanos; suplementos alimenticios para personas; suplementos alimenticios para uso farmacéutico; suplementos de hierbas líquidos; suplementos nutricionales; suplementos nutricionales líquidos; suplementos vitamínicos líquidos.
</t>
  </si>
  <si>
    <t>EXTIMOX PREMIX</t>
  </si>
  <si>
    <t xml:space="preserve"> ILENDER COLOMBIA S.A., Carrera 74 No. 160 83 Int1 Apto  601 Conjunto Colina De  Sanfernando , BOGOTÁ, D.C., CO</t>
  </si>
  <si>
    <t xml:space="preserve">5. Aditivos alimentarios medicinales para uso veterinario; alimentos complementarios para uso veterinario; antibióticos para uso veterinario; complementos alimenticios para animales de uso veterinario; complementos alimenticios para uso farmacéutico y veterinario; complementos alimenticios para uso veterinario; complementos de uso veterinario para piensos; complementos nutricionales para uso veterinario; complementos para piensos para uso veterinario; medicamentos para uso veterinario; preparaciones antibacterianas para uso veterinario; preparaciones antiinfecciosos para uso veterinario; preparaciones bacterianas para uso médico o veterinario; preparaciones bioquímicas para uso veterinario; preparaciones de aminoácidos para uso veterinario; preparaciones de diagnóstico para uso veterinario; preparaciones de microorganismos para uso veterinario; preparaciones de uso veterinario para tratar las bacterias intestinales; preparaciones enzimáticas para uso veterinario; preparaciones sanitarias para uso veterinario; productos de lavado insecticidas para uso veterinario; remedios para uso veterinario; suplementos alimenticios para animales de uso veterinario; suplementos alimenticios para uso veterinario.
35. Servicios de venta minorista o al mayorista de medicamentos veterinarios.
</t>
  </si>
  <si>
    <t>FIBER ALL PLUS</t>
  </si>
  <si>
    <t>FIBERLAX</t>
  </si>
  <si>
    <t>ENNY LORAYNE LINDARTE CARRILLO, AV 12 9 51 BRR EL LLANO, CUCUTA, NORTE DE SANTANDER, CO</t>
  </si>
  <si>
    <t>farmarket</t>
  </si>
  <si>
    <t xml:space="preserve">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los piojos del cabello; preparaciones para eliminar piojos del cabello;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animales de uso veterinario;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
</t>
  </si>
  <si>
    <t>Iso drink</t>
  </si>
  <si>
    <t xml:space="preserve">3.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champús no medicinales para animales de compañía [preparaciones de aseo, que no sean para uso veterinario]; champús no medicinales para animales de compañía;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cosméticos para animales; desodorantes para animales; desodorantes para animales de compañía; desodorantes para personas o animales; desodorantes para personas o animales [productos de perfumería]; desodorantes para uso personal y para animales; desodorizantes para animales de compañía; enjuagues bucales no medicinales para animales de compañía; limpiadores para camas [arena] de animales; preparaciones con filtro solar para animales; preparaciones de baño no medicinales para animales; preparaciones de protección solar para animales; preparaciones no medicinales para el aseo de animales que no sean productos para lavarlos;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productos para eliminar las manchas producidas por animales de compañía; toallitas impregnadas con preparaciones de limpieza para animales de compañía.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champú para el crecimiento del cabello; estimulantes para el crecimiento del cabello; preparaciones medicinales para el crecimiento del cabello; preparaciones para eliminar los piojos del cabello; preparaciones para eliminar piojos del cabello;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animales de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 aditivos en forma de vitaminas y minerales para alimentos para animales de compañía; alimentos dietéticos medicinales para animales; alimentos medicinales para animales; botiquines de primeros auxilios para animales de compañía; bragas higiénicas para animales de compañía; champús insecticidas para animales; champús medicinales para animales de compañía; collares antiparasitarios para animales; collares antipulgas para animales; collares antipulgas para animales de compañía; complementos alimenticios antibióticos para animales; complementos alimenticios para animales; complementos alimenticios para personas o animales; complementos de proteínas para animales; complementos dietéticos en forma de golosinas para animales de compañía; complementos dietéticos para animales de compañía; complementos dietéticos para animales de compañía, a saber, bebidas en polvo; complementos dietéticos para personas y animales; complementos medicinales para alimentos destinados a los animales; complementos nutricionales para alimentos de animales; complementos nutricionales para seres humanos y animales; complementos vitamínicos y minerales para animales de compañía; desodorantes de bandejas higiénicas para animales de compañía; desodorantes para bandejas de arena higiénica para animales de compañía; desodorantes para camas de animales; desodorantes que no sean para personas ni para animales; desodorantes que no sean para personas o animales; enjuagues bucales medicinales para animales de compañía; envolturas sanitarias [pañales para animales de compañía]; estimulantes alimenticios para animales; estuches de primeros auxilios para animales de compañía; fagoestimulantes para animales; implantes biológicos formados por tejidos conjuntivos humanos o animales; kits de primeros auxilios para animales de compañía; laxantes para animales; medicamentos de prevención contra los nematodos parásitos de animales de compañía; pañales desechables para animales de compañía; pañales para animales de compañía; polvos antipulgas para animales; polvos para matar las pulgas en los animales; polvos pulguicidas para animales; preparaciones contra las picaduras o mordeduras de animales; preparaciones desodorantes de bandejas higiénicas para animales de compañía; preparaciones desodorantes para bandejas de arena higiénica para animales de compañía; preparaciones farmacéuticas para animales; preparaciones farmacéuticas para el cuidado de la piel de animales; preparaciones farmacéuticas para el cuidado de la piel de los animales; preparaciones farmacéuticas para el tratamiento de lombrices en animales de compañía; preparaciones farmacéuticas para tratar los gusanos en animales domésticos; preparaciones medicinales para el aseo de animales; preparaciones medicinales para el baño de los animales; preparaciones medicinales para el cuidado dental de los animales;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eliminar malas hierbas y plagas animales; preparaciones para la destrucción de animales dañinos; preparaciones para neutralizar los olores dejados por las animales de compañía; preparaciones para repeler animales dañinos; preparaciones repelentes para animales, pájaros e insectos;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repelentes para animales; supositorios para animales; ungüentos a base de hierbas para las heridas externas de animales de compañía; ungüentos antiprurito a base de hierbas para animales de compañía; vacunas contra las pezuñas de animales; vacunas veterinarias para animales de la especie bovina; vitaminas para animales; vitaminas para animales de compañía.
</t>
  </si>
  <si>
    <t>Electrodrink</t>
  </si>
  <si>
    <t xml:space="preserve">3. Champús no medicinales para animales de compañía; champús no medicinales para animales de compañía [preparaciones de aseo, que no sean para uso veterinario]; champús para animales [preparaciones de higiene no medicamentosas]; champús para animales [preparaciones higiénicas no medicinales]; champús para animales de compañía [preparaciones higiénicas no medicinales]; champús y acondicionadores para animales de compañía [preparaciones de peluquería no medicinales ni veterinarias]; desodorantes para animales de compañía; desodorantes para personas o animales [productos de perfumería]; desodorizantes para animales de compañía; enjuagues bucales no medicinales para animales de compañía; preparaciones no medicinales para el aseo de animales que no sean productos para lavarlos; productos para eliminar las manchas producidas por animales de compañía; toallitas impregnadas con preparaciones de limpieza para animales de compañía; aceite fijador para el cabello; aceite japonés para fijar el cabello; aceite para el peinado del cabello; aceites para el cabello; aceites suavizantes para el cabello; acondicionadores de cabello; acondicionadores de cabello a base de cáñamo; acondicionadores en barritas sólidas para el cabello; acondicionadores para el cabello; acondicionadores para el cabello para bebés; acondicionadores para uso en el cabello; adhesivos para pestañas, cabello y uñas postizos; agua oxigenada para el cabello; baños de aceite para el cuidado del cabello; baños de aceite para el cuidado del cabello de uso cosmético; bintsuke-abura [aceite japonés para fijar el cabello]; brillantina para el cabello; bálsamos para el cabello; cera para el cabello; ceras para el cabello; ceras para el cuidado del cabello; ceras para el peinado del cabello; champúes para el cabello; champúes para el cabello a base de cáñamo; champús para el cabello; champús para el cabello humano; champús para el cabello y el cuerpo; champús y acondicionadores para el cabello; colorantes para el cabello; cosméticos para el cabello; crema para peinar el cabello; cremas de protección para el cabello; cremas de protección para el cabello, no medicinales; cremas para el cabello; cremas para el cabello de uso cosmético; cremas para el cabello para uso cosmético; cremas para el cuidado del cabello; enjuagues de color para el cabello; enjuagues para el cabello; enjuagues para el cabello de uso cosmético; espuma de protección para el cabello; espuma moldeadora para el cabello; espumas para el cabello; espumas para el cabello [productos de tocador]; espumas para el peinado del cabello [productos de tocador]; espumas y geles para peinar el cabello; fijadores para el cabello; geles de protección para el cabello; geles para dar forma al cabello; geles para el cabello; geles para el peinado del cabello; geles para uso en el cabello; geles y espumas para el cabello; geles, aerosoles, espumas y bálsamos para peinar y cuidar el cabello; geles, espráis, espumas y bálsamos para peinar y cuidar el cabello; hidratantes para el cabello; jabones líquidos para el cabello y el cuerpo; lacas para el cabello; lacas y geles fijadores para el cabello; lociones colorantes para el cabello; lociones de protección para el cabello; lociones fijadoras para ondular el cabello; lociones para el cabello; lociones para el cabello de uso cosmético; lociones para fortalecer el cabello; lociones para ondular el cabello; lociones para ondular el cabello de forma permanente; lociones para rizar el cabello; lociones, cremas y preparaciones para el cuidado de la cara, cuerpo, cuero cabelludo, uñas y cabello; lociones, cremas y preparaciones para el cuidado del rostro, cuerpo, cuero cabelludo, uñas y cabello; mascarillas de belleza para el cabello; mascarillas para el cabello; mascarillas para el cabello y el cuero cabelludo; mascarillas para el cuidado del cabello; mascarillas para el peinado del cabello; mechas y reflejos [preparaciones para iluminar el cabello]; máscaras para el cabello; máscaras para el cabello y el cuero cabelludo; polvo para el cabello; polvos para lavar el cabello; pomadas para el cabello; pomadas para el cabello de uso cosmético; preparaciones cosméticas para el cabello y el cuero cabelludo; preparaciones cosméticas para el cuidado del cabello; preparaciones cosméticas para impedir el crecimiento del cabello; preparaciones de permanente para ondular el cabello; preparaciones de permanente para ondular y rizar el cabello; preparaciones de permanente para rizar el cabello; preparaciones no medicadas para el cabello; preparaciones no medicinales para el cuidado de la piel, el cabello y el cuero cabelludo; preparaciones no medicinales para el cuidado del cabello; preparaciones para alisar el cabello; preparaciones para atildar el cabello; preparaciones para decolorar el cabello; preparaciones para desrizar el cabello; preparaciones para el cuidado del cabello; preparaciones para el cuidado del cuero cabelludo y del cabello; preparaciones para el cuidado y la limpieza del cabello; preparaciones para el peinado del cabello; preparaciones para el teñido de cabellos; preparaciones para el tratamiento de coloración permanente del cabello; preparaciones para el tratamiento de permanente de coloración del cabello; preparaciones para la fijación del cabello; preparaciones para la limpieza del cabello; preparaciones para lavar el cabello; preparaciones para limpiar, colorear, teñir, decolorar, amoldar o para ondular permanentemente el cabello; preparaciones para limpiar, colorear, teñir, decolorar, marcar o para ondular permanentemente el cabello; preparaciones para limpiar, cuidar y arreglar el cabello; preparaciones para limpiar, teñir, colorear, decolorar, marcar y peinar el cabello; preparaciones para marcar el cabello; preparaciones para ondular el cabello; preparaciones para ondular permanente el cabello; preparaciones para ondular permanentemente y amoldar el cabello; preparaciones para ondular permanentemente y marcar el cabello; preparaciones para ondular y amoldar el cabello; preparaciones para ondular y marcar el cabello; preparaciones para ondular y rizar permanentes del cabello; preparaciones para rizar el cabello; preparaciones para rizar permanente el cabello; preparaciones para teñir el cabello; preparaciones para teñir y decolorar el cabello; preparación nutritiva para el cabello; preparaciónes nutritiva para el cabello; preparados para el tratamiento de coloración permanente del cabello; preparados para el tratamiento de permanente de coloración del cabello; productos cosméticos para el cabello y el cuero cabelludo; productos de enjuague para el cabello; productos de enjuague para el cabello [champús acondicionadores]; productos de textura para el cabello; productos decolorantes para el cabello; productos hidratantes para el cabello; productos para aclarar el cabello; productos para decolorar el cabello; productos para desrizar el cabello; productos y preparaciones para el cuidado del cabello; revitalizantes para el cabello; revitalizantes para el cabello de uso cosmético; suavizantes para el cabello; suavizantes para el cabello de uso cosmético; sueros para el cuidado del cabello; sueros para el peinado del cabello; tintes para el cabello; tintes y decolorantes para el cabello; tinturas para el cabello; tinturas para el cabello [tintes]; tonificantes para el cabello; tonificantes para el cabello para uso cosmético; tratamientos de alisado para el cabello; tratamientos de cera para el cabello; tratamientos de permanente del cabello; tratamientos de permanente para el cabello; tratamientos de queratina para el cabello; cosméticos para animales; desodorantes para animales; desodorantes para personas o animales; desodorantes para uso personal y para animales; limpiadores para camas [arena] de animales; preparaciones con filtro solar para animales; preparaciones de baño no medicinales para animales; preparaciones de protección solar para animales; preparaciones no medicinales para el cuidado dental de los animales; preparaciones para el baño de los animales; preparaciones para el cuidado dental de los animales; preparaciones para el cuidado y limpieza de los animales; productos limpiadores con desodorante para lechos higiénicos de animales.
5. Agentes de administración en forma de películas solubles de comprimidos que facilitan la administración de suplementos nutricionales; agentes de administración en forma de recubrimientos de comprimidos que facilitan la administración de suplementos nutricionales; aislados de proteína de suero de leche [suplementos dietéticos]; aislados de proteína de suero de leche en cuanto suplementos dietéticos; alimentos y suplementos alimenticios sin gluten, todos adecuados a fines médicos; antioxidantes [suplementos dietéticos]; antioxidantes utilizados como suplementos alimenticios; bacterias probióticas [suplementos alimenticios]; bacterias probióticas en cuanto suplementos alimenticios; barras de probióticos utilizadas como suplementos dietéticos; barras energéticas utilizadas como suplementos dietéticos; barras energéticas utilizadas como suplementos nutricionales; batidos a base de suplementos proteínicos para aumentar de peso; batidos de leche en cuanto suplementos proteínicos; bebidas de leche malteada en cuanto suplementos alimenticios para bebés; bebidas de leche malteada en cuanto suplementos alimenticios para minusválidos; bebidas medicinales en la forma de suplementos dietéticos para la desintoxicación del colon; bebidas medicinales en la forma de suplementos dietéticos para la desintoxicación del hígado; bebidas nutricionales en cuanto suplementos alimenticios; concentrados de proteína de suero de leche [suplementos dietéticos]; concentrados de proteína de suero de leche en cuanto suplementos dietéticos; fibra alimentaria como ingrediente para la fabricación de suplementos dietéticos; hidrolizados de proteína de suero de leche [suplementos dietéticos]; hidrolizados de proteína de suero de leche en cuanto suplementos dietéticos;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levadura de cerveza para ser utilizada como suplementos alimenticios; parches de suplementos vitamínicos; parches transdérmicos que facilitan el suministro de suplementos dietéticos; preparaciones y suplementos nutricionales para la salud; preparaciones y suplementos para la salud; productos dietéticos y suplementos nutricionales para uso médico; proteínas de suero de leche [suplementos alimenticios]; proteínas de suero de leche [suplementos dietéticos]; proteínas de suero de leche [suplementos nutricionales]; proteínas de suero de leche en cuanto suplementos alimenticios; proteínas de suero de leche en cuanto suplementos dietéticos; proteínas de suero de leche en cuanto suplementos nutricionales; proteínas de suero de leche en polvo [suplementos nutricionales]; proteínas de suero de leche en polvo en cuanto suplementos nutricionales;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antibióticos para animales;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para uso médico; suplementos alimenticios dietéticos en forma de cápsulas, que no sean para uso médico; suplementos alimenticios dietéticos en forma de gránulos; suplementos alimenticios dietéticos en forma de gránulos para uso médico; suplementos alimenticios dietéticos en forma de gránulos, que no sean para uso médico; suplementos alimenticios dietéticos en forma de polvo; suplementos alimenticios dietéticos en forma de polvo para uso médico; suplementos alimenticios dietéticos en forma de polvo, que no sean para uso médico; suplementos alimenticios dietéticos en polvo; suplementos alimenticios dietéticos en polvo para uso médico; suplementos alimenticios dietéticos en polvo, que no sean para uso médico; suplementos alimenticios dietéticos para uso médico; suplementos alimenticios dietéticos y sustancias dietéticas para uso médico; suplementos alimenticios en polvo a base de cáñamo; suplementos alimenticios en polvo a base de proteinas; suplementos alimenticios en polvo a base de proteínas vegetales; suplementos alimenticios medicinales a base de colágeno; suplementos alimenticios medicinales para consumo humano; suplementos alimenticios minerales; suplementos alimenticios minerales para seres humanos; suplementos alimenticios para animales; suplementos alimenticios para animales de uso veterinario; suplementos alimenticios para humanos; suplementos alimenticios para personas; suplementos alimenticios para personas o animales; suplementos alimenticios para seres humanos; suplementos alimenticios para uso farmacéutico; suplementos alimenticios para uso farmacéutico y veterinario; suplementos alimenticios para uso veterinario; suplementos alimenticios probióticos; suplementos alimenticios probióticos en cápsulas; suplementos alimenticios proteicos en polvo; suplementos alimenticios que no sean para uso médico; suplementos alimenticios terapéuticos que contienen gingseng; suplementos alimenticios terapéuticos que contienen gingseng rojo;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animales;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glucosa para animales; suplementos dietéticos de levadura para animales; suplementos dietéticos de linaza para animales; suplementos dietéticos de ácido fólico; suplementos dietéticos en forma de polvo; suplementos dietéticos en forma líquida; suplementos dietéticos en polvo a base de esporas de ganoderma lucidum; suplementos dietéticos minerales para animales;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no medicinales para alimentos para animales; suplementos nutricionales para alimentos de animales para uso médico; suplementos nutricionales para animales;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animales; suplementos vitamínicos para productos alimenticios de consumo humano; suplementos y preparaciones dietéticas; suplementos y preparaciones nutricionales; vitaminas, minerales y antioxidantes en cuanto suplementos nutricionales y dietéticos; aditivos en forma de vitaminas y minerales para alimentos para animales de compañía; botiquines de primeros auxilios para animales de compañía; bragas higiénicas para animales de compañía; champús medicinales para animales de compañía; collares antipulgas para animales de compañía; complementos alimenticios para animales de uso veterinario; complementos dietéticos en forma de golosinas para animales de compañía; complementos dietéticos para animales de compañía; complementos dietéticos para animales de compañía, a saber, bebidas en polvo; complementos vitamínicos y minerales para animales de compañía; desodorantes de bandejas higiénicas para animales de compañía; desodorantes para bandejas de arena higiénica para animales de compañía; enjuagues bucales medicinales para animales de compañía; envolturas sanitarias [pañales para animales de compañía]; estuches de primeros auxilios para animales de compañía; kits de primeros auxilios para animales de compañía; medicamentos de prevención contra los nematodos parásitos de animales de compañía; pañales desechables para animales de compañía; pañales para animales de compañía; preparaciones desodorantes de bandejas higiénicas para animales de compañía; preparaciones desodorantes para bandejas de arena higiénica para animales de compañía; preparaciones farmacéuticas para el tratamiento de lombrices en animales de compañía; preparaciones farmacéuticas para tratar los gusanos en animales domésticos; preparaciones para combatir el ataque de animales dañinos; preparaciones para el control de animales dañinos; preparaciones para el tratamiento contra pulgas y garrapatas de animales de compañía; preparaciones para eliminar animales dañinos; preparaciones para eliminar malas hierbas y animales dañinos; preparaciones para la destrucción de animales dañinos; preparaciones para neutralizar los olores dejados por las animales de compañía; preparaciones para repeler animales dañinos; preparados desodorantes para bandejas higiénicas para animales de compañía; productos para el control de animales dañinos; productos para eliminar animales dañinos; productos para lavar animales [insecticidas]; repelentes en granulados para los animales dañinos de madrigueras; ungüentos a base de hierbas para las heridas externas de animales de compañía; ungüentos antiprurito a base de hierbas para animales de compañía; vacunas veterinarias para animales de la especie bovina; vitaminas para animales de compañía; champú para el crecimiento del cabello; estimulantes para el crecimiento del cabello; preparaciones medicinales para el crecimiento del cabello; preparaciones para eliminar los piojos del cabello; preparaciones para eliminar piojos del cabello; aceite de cáñamo para uso veterinario; aditivos alimentarios medicinales para uso veterinario; adyuvantes para uso veterinario; agentes de diagnóstico para uso veterinario; alimentos complementarios para uso veterinario; alimentos dietéticos para uso veterinario; alimentos y bebidas dietéticos para uso médico o veterinario; alimentos y bebidas dietéticos para uso veterinario; alimentos y sustancias dietéticas para uso médico o veterinario; alimentos y sustancias dietéticas para uso médico o veterinario, alimentos para bebés; aminoácidos para uso veterinario; analgésicos para uso veterinario; antibióticos para uso veterinario; anticuerpos para uso veterinario; bacterióstatos para uso médico, odontológico y veterinario; bebidas dietéticas para uso veterinario; botiquines de viaje equipados para uso veterinario; bálsamos para uso veterinario; calostro bovino para uso veterinario; calostro para uso veterinario; complementos alimenticios para uso farmacéutico y veterinario; complementos alimenticios para uso veterinario; complementos de uso veterinario para piensos; complementos nutricionales para uso veterinario; complementos para piensos para uso veterinario; cultivos bacteriológicos para uso médico o veterinario; cultivos bacteriológicos para uso médico y veterinario; cultivos bacteriológicos para uso veterinario o médico; cultivos bacteriológicos para uso veterinario y médico; cultivos de medios celulares para uso veterinario; cultivos de microorganismos para uso médico o veterinario; cultivos de microorganismos para uso veterinario; cultivos de tejidos biológicos para uso veterinario; células madre para uso veterinario; células vivas para uso veterinario; desinfectantes para uso veterinario; detergentes para uso veterinario; enjuagues bucales para uso veterinario; enzimas para uso veterinario; enzimas recombinantes en cuanto preparaciones bioquímicas para uso veterinario; enzimas recombinantes en cuanto preparados bioquímicos para uso veterinario; enzimas recombinantes metabolizadoras de fármacos en cuanto preparaciones bioquímicas para uso veterinario; enzimas recombinantes metabolizadoras de fármacos en cuanto preparados bioquímicos para uso veterinario; extractos de levadura para uso médico, veterinario o farmacéutico; extractos de levadura para uso veterinario; formulaciones bacterianas probióticas para uso veterinario; fórmulas bacterianas probióticas para uso veterinario; grasas para uso médico o veterinario; grasas para uso veterinario; hormonas para uso veterinario; jalea de petróleo para uso médico o veterinario; jalea de petróleo para uso médico y veterinario; jalea de petróleo para uso veterinario; jarabes para uso veterinario; laxantes para uso veterinario; levadura para uso veterinario; levaduras para uso médico, veterinario o farmacéutico; lociones para perros para uso veterinario; lociones para uso veterinario; marihuana para uso veterinario; medicamentos para uso veterinario; medios de cultivos celulares para uso veterinario; medios de hemocultivo para uso médico o veterinario; medios de hemocultivo para uso médico y veterinario; medios de hemocultivo para uso veterinario o médico; medios de hemocultivo para uso veterinario y médico; membranas de nitrocelulosa para diagnósticos veterinarios; oxígeno para uso veterinario; papel de nitrocelulosa para diagnósticos veterinarios; papel reactivo para uso médico o veterinario; papel reactivo para uso veterinario; parches oculares para uso veterinario; preparaciones antibacterianas para uso veterinario; preparaciones antiinfecciosos para uso veterinario; preparaciones bacterianas para uso médico o veterinario; preparaciones bacterianas para uso veterinario; preparaciones bacteriológicas para uso médico o veterinario; preparaciones bacteriológicas para uso veterinario; preparaciones biológicas para uso médico o veterinario; preparaciones biológicas para uso veterinario; preparaciones bioquímicas para uso médico o veterinario; preparaciones bioquímicas para uso veterinario; preparaciones de aminoácidos para uso veterinario; preparaciones de diagnóstico a base de polímeros dendriméricos, para uso veterinario; preparaciones de diagnóstico para uso médico o veterinario; preparaciones de diagnóstico para uso veterinario; preparaciones de microorganismos para uso médico o veterinario; preparaciones de microorganismos para uso veterinario; preparaciones de uso veterinario para tratar las bacterias intestinales; preparaciones enzimáticas para uso veterinario; preparaciones higiénicas para uso veterinario; preparaciones para uso médico y veterinario; preparaciones químicas para uso médico o veterinario; preparaciones químicas para uso médico y veterinario; preparaciones químicas para uso veterinario; preparaciones sanitarias para uso veterinario; productos de lavado insecticidas para uso veterinario; productos farmacéuticos, preparaciones para uso médico y veterinario; proteínas recombinantes en cuanto preparaciones bioquímicas para uso veterinario; proteínas recombinantes en cuanto preparados bioquímicos para uso veterinario; reactivos biológicos para uso veterinario; reactivos de diagnóstico para uso médico o veterinario; reactivos de diagnóstico para uso veterinario; reactivos de diagnóstico veterinario; reactivos diagnósticos para uso médico o veterinario; reactivos diagnósticos para uso veterinario; reactivos para el desarrollo de anticuerpos monoclonales para uso veterinario; reactivos para la determinación del grupo sanguíneo para uso médico o veterinario; reactivos para pruebas de diagnóstico de preñez para uso veterinario; reactivos para pruebas de diagnóstico para uso veterinario; reactivos para pruebas diagnósticas de uso veterinario; reactivos químicos para uso farmacéutico y veterinario; reactivos químicos para uso médico o veterinario; reactivos químicos para uso médico y veterinario; reactivos químicos para uso veterinario; reactivos químicos y biológicos para uso médico o veterinario; remedios para uso veterinario; sangre del cordón umbilical para uso veterinario; secuencias de ácidos nucleicos para uso médico y veterinario; supositorios para uso veterinario; sustancias dietéticas para uso veterinario; sustitutivos de la sangre para uso médico o veterinario; sustitutos de comidas adaptados para uso médico o veterinario; sustitutos de comidas adaptados para uso veterinario; tinturas para uso veterinario; toallitas antibacterianas para uso veterinario; tónicos para uso veterinario; ungüentos para uso veterinario; vacunas para uso veterinario; alimentos dietéticos medicinales para animales; alimentos medicinales para animales; champús insecticidas para animales; collares antiparasitarios para animales; collares antipulgas para animales; complementos alimenticios antibióticos para animales; complementos alimenticios para animales; complementos alimenticios para personas o animales; complementos de proteínas para animales; complementos dietéticos para personas y animales; complementos medicinales para alimentos destinados a los animales; complementos nutricionales para alimentos de animales; complementos nutricionales para seres humanos y animales; desodorantes para camas de animales; desodorantes que no sean para personas ni para animales; desodorantes que no sean para personas o animales; estimulantes alimenticios para animales; fagoestimulantes para animales; implantes biológicos formados por tejidos conjuntivos humanos o animales; laxantes para animales; polvos antipulgas para animales; polvos para matar las pulgas en los animales; polvos pulguicidas para animales; preparaciones contra las picaduras o mordeduras de animales; preparaciones farmacéuticas para animales; preparaciones farmacéuticas para el cuidado de la piel de animales; preparaciones farmacéuticas para el cuidado de la piel de los animales; preparaciones medicinales para el aseo de animales; preparaciones medicinales para el baño de los animales; preparaciones medicinales para el cuidado dental de los animales; preparaciones para eliminar malas hierbas y plagas animales; preparaciones repelentes para animales, pájaros e insectos; repelentes para animales; supositorios para animales; vacunas contra las pezuñas de animales; vitaminas para animales.
</t>
  </si>
  <si>
    <t>COMPLEXZINC-F</t>
  </si>
  <si>
    <t>PHARVET S.A.S.</t>
  </si>
  <si>
    <t>BIOZINCF</t>
  </si>
  <si>
    <t>Trifenzol</t>
  </si>
  <si>
    <t>FLORTIFEN 20%</t>
  </si>
  <si>
    <t>AMINO 100</t>
  </si>
  <si>
    <t xml:space="preserve"> NEOPHARMA SAS, TRANSV. 68C # 22-55 SUR, BOGOTÁ, D.C., CO</t>
  </si>
  <si>
    <t xml:space="preserve">5. Suplementos alimenticios para humanos; formulaciones vitamínicas para consumo humano; suplementos dietéticos a base de aminoácidos para consumo humano; complementos de proteínas para personas.
</t>
  </si>
  <si>
    <t>THYNLLYNE</t>
  </si>
  <si>
    <t>CINCALED</t>
  </si>
  <si>
    <t>Laboratorios Naturfar S.A.S.,</t>
  </si>
  <si>
    <t>CARMURAC</t>
  </si>
  <si>
    <t>VARISTOPP</t>
  </si>
  <si>
    <t>LABORATORIO MAVER S.A.,</t>
  </si>
  <si>
    <t>Inner being</t>
  </si>
  <si>
    <t>ALEJANDRO LÓPEZ TELLO CUÉLLAR,</t>
  </si>
  <si>
    <t>L'MENTO</t>
  </si>
  <si>
    <t>LABORATORIOS MEREY</t>
  </si>
  <si>
    <t>DANIELA DURANGO LOPEZ, cr 39 no 13 sur 28, MEDELLIN, ANTIOQUIA, CO</t>
  </si>
  <si>
    <t xml:space="preserve">5. Complementos homeopáticos; medicamentos homeopáticos; medicinas homeopáticas; productos farmacéuticos homeopáticos.
</t>
  </si>
  <si>
    <t>VALÚ PRODUCTOS NATURALES</t>
  </si>
  <si>
    <t>JULIANA VALENTINA RODRIGUEZ GOMEZ, CARRERA15 # 13  - 56, ARMENIA, QUINDIO, CO</t>
  </si>
  <si>
    <t>BRIOECOLINE</t>
  </si>
  <si>
    <t>DIANA VALENTINA DELGADO TERAN, CLL 65 # 18 - 104 Casa 255, PALMIRA, VALLE DEL CAUCA, CO</t>
  </si>
  <si>
    <t xml:space="preserve">1. Fertilizantes.
5. Herbicidas.
</t>
  </si>
  <si>
    <t>AFTER WE ARE THE PARTY PEOPLE</t>
  </si>
  <si>
    <t>Andrés David  Rojas Vera, Carrera 59 #45a-06, Apto 101, BOGOTA, CUNDINAMARCA, CO</t>
  </si>
  <si>
    <t>5, 35, 41</t>
  </si>
  <si>
    <t xml:space="preserve">5. Suplementos alimenticios; suplementos dietéticos; suplementos nutricionales; suplementos probióticos; antioxidantes [suplementos dietéticos]; preparaciones y suplementos para la salud.
35. Publicidad; gestión de negocios comerciales; servicios de tiendas mayoristas de suplementos dietéticos; servicios de tiendas minoristas de suplementos dietéticos; servicios de venta mayorista de suplementos dietéticos; servicios de venta minorista de suplementos dietéticos.
41. Educación; formación; servicios de entretenimiento; servicios de gestión de eventos en cuanto organización de eventos culturales; servicios de; gestión de eventos en cuanto organización de eventos de entretenimiento; celebración de eventos en vivo; celebración de eventos recreativos; conducción de eventos culturales; dirección de eventos culturales; organización de eventos con fines culturales; organización de eventos con fines de entretenimiento; organización de eventos con fines de esparcimiento.
</t>
  </si>
  <si>
    <t>HOMEOECHINACEA</t>
  </si>
  <si>
    <t>NATALIA MOYA LAITON, Transv 77 162 08, BOGOTA, CUNDINAMARCA 111156, CO</t>
  </si>
  <si>
    <t>HOMEOVITEX</t>
  </si>
  <si>
    <t>HOMEOCYKLO</t>
  </si>
  <si>
    <t xml:space="preserve">ALIVGAS FAST </t>
  </si>
  <si>
    <t>TQ BRANDS S.A.,</t>
  </si>
  <si>
    <t>MARIA VALENTINA CASTIBLANCO VASQUEZ, CALLE 138 # 56-60, BOGOTÁ, D.C., CO</t>
  </si>
  <si>
    <t xml:space="preserve">5. Suplementos alimenticios; suplementos alimenticios dietéticos; suplementos alimenticios minerales; suplementos alimenticios para seres humanos; suplementos alimenticios para uso farmacéutico; suplementos dietéticos; suplementos minerales para alimentos; suplementos nutricionales; suplementos nutricionales y alimenticios; preparaciones multivitamínicas; medicamentos; medicamentos fitoterapéuticos para el consumo humano; suplementos dietarios, alimentos adicionados con vitaminas y minerales; productos multivitamínicos; productos fitoterapeuticos.
</t>
  </si>
  <si>
    <t>ALAMBIC DE PLANTAS</t>
  </si>
  <si>
    <t>AURA CRISTINA RODRIGUEZ QUIZZA, Calle 10 8 47, ROLDANILLO, VALLE DEL CAUCA, CO</t>
  </si>
  <si>
    <t xml:space="preserve">5. Extractos herbarios para uso medicinal; preparaciones herbarias para uso médico.
</t>
  </si>
  <si>
    <t>V&amp;S ESSENTIAL VITAMINS AND SUPPLEMENTS</t>
  </si>
  <si>
    <t>Sebastián Alejandro  Arias Tamayo , Calle 13B # 74 - 133 Barrio Quintas de Don Simón , TULUA, VALLE DEL CAUCA, CO</t>
  </si>
  <si>
    <t xml:space="preserve">5. Suplementos nutricionales; suplementos alimenticios a base de caseína; suplementos alimenticios minerales; parches de suplementos vitamínicos; preparaciones de vitaminas; suplementos alimenticios a base de proteínas; suplementos alimenticios de proteína de suero de leche; complementos alimenticios a base de proteínas; complementos alimenticios de proteína de suero de leche; productos farmacéuticos, preparaciones para uso médico; alimentos y sustancias dietéticas para uso médico, alimentos para bebés; complementos alimenticios para personas.
</t>
  </si>
  <si>
    <t>PEPTO FULL GEL NF</t>
  </si>
  <si>
    <t>ABA</t>
  </si>
  <si>
    <t>Gustavo Andres Vera Suárez, Parcela #35 la galicia, corregimiento campo dos, TIBU, NORTE DE SANTANDER, CO</t>
  </si>
  <si>
    <t xml:space="preserve">5. Suplementos alimenticios.
29. Nueces procesadas.
30. Bizcochos de chocolate y nueces.
</t>
  </si>
  <si>
    <t>Tuavit</t>
  </si>
  <si>
    <t xml:space="preserve"> ORBE NUTRICION LTDA, CRA. 37A NO. 7-60, BOGOTÁ, D.C., CO</t>
  </si>
  <si>
    <t xml:space="preserve">5. Aceite de hígado de bacalao; aditivos minerales para productos alimenticios de consumo humano; alimentos para bebés; alimentos para bebés y niños pequeños; alimentos para diabéticos; alimentos para lactantes; alimentos para niños; alimentos para niños pequeños; almidón dietético; antioxidantes [complementos dietéticos]; antioxidantes [suplementos dietéticos]; antioxidantes utilizados como complementos alimenticios; antioxidantes utilizados como suplementos alimenticios; bacterias probióticas [complementos alimenticios]; bacterias probióticas [suplementos alimenticios]; bacterias probióticas en cuanto complementos alimenticios; bacterias probióticas en cuanto suplementos alimenticios; barras de probióticos utilizadas como suplementos dietéticos; barras energéticas utilizadas como complementos alimenticios; barras energéticas utilizadas como suplementos dietéticos; barras energéticas utilizadas como suplementos nutricionales; barritas dietéticas en cuanto sustitutos de comidas; batidos a base de complementos proteínicos para aumentar de peso; batidos a base de suplementos proteínicos para aumentar de peso; batidos de leche en cuanto complementos proteínicos; batidos de leche en cuanto suplementos proteínicos; bebidas de leche malteada en cuanto complementos alimenticios para bebés; bebidas de leche malteada en cuanto complementos alimenticios para minusválidos; bebidas de leche malteada en cuanto suplementos alimenticios para bebés; bebidas de leche malteada en cuanto suplementos alimenticios para minusválidos; bebidas de leche malteada para bebés; bebidas de leche malteada para minusválidos; bebidas nutricionales en cuanto complementos alimenticios; bebidas nutricionales en cuanto suplementos alimenticios; bebidas nutricionales enriquecidas con prebióticos para uso dietético; bebidas nutricionales enriquecidas con probióticos para uso dietético; bebidas nutricionales enriquecidas con vitaminas para uso dietético; bebidas nutricionales para uso dietético; bebidas para bebés; bebidas utilizadas como complementos dietéticos; caramelos de goma vitaminados; comementos de proteína de suero de leche; complejos vitamínicos; complementos a base de hierbas; complementos alimenticios; complementos alimenticios a base de aceite de linaza; complementos alimenticios a base de aceite de lino; complementos alimenticios a base de albúmina; complementos alimenticios a base de alginatos; complementos alimenticios a base de aminoácidos; complementos alimenticios a base de caseína; complementos alimenticios a base de chlorella; complementos alimenticios a base de cáñamo; complementos alimenticios a base de enzimas; complementos alimenticios a base de germen de trigo; complementos alimenticios a base de glucosa; complementos alimenticios a base de isoflavona de soja; complementos alimenticios a base de jalea real; complementos alimenticios a base de kiwicha; complementos alimenticios a base de lecitina; complementos alimenticios a base de levadura; complementos alimenticios a base de levadura de cerveza; complementos alimenticios a base de linaza; complementos alimenticios a base de maca; complementos alimenticios a base de minerales; complementos alimenticios a base de oligoelementos; complementos alimenticios a base de polen; complementos alimenticios a base de polen de pino; complementos alimenticios a base de propóleos; complementos alimenticios a base de proteínas; complementos alimenticios a base de proteínas de soja; complementos alimenticios a base de proteínas vegetales en forma de polvo; complementos alimenticios a base de quinua; complementos alimenticios a base de semillas de lino; complementos alimenticios a base de yacón; complementos alimenticios antioxidantes; complementos alimenticios compuestos de aminoácidos; complementos alimenticios de vitaminas y minerales; complementos alimenticios dietéticos; complementos alimenticios dietéticos a base de extractos de hierbas deshidratadas en cápsulas; complementos alimenticios dietéticos en cápsulas; complementos alimenticios dietéticos en cápsulas, que no sean para uso médico; complementos alimenticios dietéticos en forma de cápsulas, que no sean para uso médico; complementos alimenticios dietéticos en forma de gránulos; complementos alimenticios dietéticos en forma de gránulos, que no sean para uso médico; complementos alimenticios dietéticos en forma de polvo; complementos alimenticios dietéticos en forma de polvo, que no sean para uso médico; complementos alimenticios dietéticos en gránulos; complementos alimenticios dietéticos en gránulos, que no sean para uso médico; complementos alimenticios dietéticos en polvo; complementos alimenticios dietéticos en polvo, que no sean para uso médico; complementos alimenticios en polvo a base de cáñamo; complementos alimenticios en polvo a base de proteinas; complementos alimenticios en polvo a base de proteínas vegetales; complementos alimenticios medicinales a base de colágeno; complementos alimenticios medicinales para consumo humano; complementos alimenticios minerales; complementos alimenticios minerales para seres humanos; complementos alimenticios para humanos; complementos alimenticios para personas; complementos alimenticios para seres humanos; complementos alimenticios probióticos; complementos alimenticios probióticos en cápsulas; complementos alimenticios proteicos en polvo; complementos de calcio; complementos de oligoelementos para productos alimenticios de consumo humano; complementos de proteínas para personas; complementos de proteínas para seres humanos; complementos de vitaminas para productos alimenticios de consumo humano; complementos de zinc en pastillas; complementos dietéticos; complementos dietéticos a base de acai en polvo; complementos dietéticos a base de aminoácidos; complementos dietéticos a base de minerales; complementos dietéticos a base de oligoelementos; complementos dietéticos a base de trigo; complementos dietéticos a base de zinc; complementos dietéticos con efecto cosmético; complementos dietéticos de carbón activado; complementos dietéticos de clorela; complementos dietéticos de vitaminas; complementos dietéticos de ácido fólico; complementos dietéticos en forma de polvo; complementos dietéticos en forma líquida; complementos dietéticos en polvo con sabor a frutas para elaborar bebidas; complementos dietéticos en polvo de esporas a base de ganoderma lucidum; complementos dietéticos naturales para tratar la claustrofobia; complementos dietéticos para controlar el colesterol; complementos dietéticos para la alimentación humana; complementos dietéticos para niños; complementos dietéticos y nutricionales; complementos minerales; complementos minerales nutricionales; complementos nutricionales; complementos nutricionales líquidos; complementos nutricionales para seres humanos; complementos nutricionales y alimenticios; complementos nutricionales y dietéticos contra el envejecimiento del sistema inmunitario; complementos nutricionales y dietéticos para el alivio del estrés; complementos nutricionales y dietéticos para el fortalecimiento del sistema inmunitario; complementos nutricionales y dietéticos para la desintoxicación; complementos para el control de peso; complementos prebióticos; complementos probióticos; complementos proteicos para seres humanos; complementos simbióticos; complementos vitamínicos; complementos vitamínicos en comprimidos que disueltos en agua sirven para elaborar bebidas efervescentes; complementos vitamínicos para productos alimenticios de consumo humano; complementos vitamínicos y minerales; complementos y preparaciones dietéticas; complementos y preparaciones nutricionales; comprimidos de vitaminas; comprimidos vitamínicos; concentrados de proteína de suero de leche [complementos dietéticos]; concentrados de proteína de suero de leche [suplementos dietéticos]; concentrados de proteína de suero de leche en cuanto complementos dietéticos; concentrados de proteína de suero de leche en cuanto suplementos dietéticos; cremas de uso dermatológico; cremas para callosidades y durezas; cremas para uso dermatológico; cápsulas a base de hierbas para potenciar la sexualidad masculina; cápsulas de aceite de hígado de bacalao; cápsulas para adelgazar; diuréticos; fibra alimentaria para facilitar la digestión; fibra alimenticia para tratar el estreñimiento; fibras alimentarias; fibras de semillas de lino molidas utilizadas como complementos dietéticos; fibras dietéticas para facilitar la digestión; geles para uso dermatológico; geles, cremas y soluciones para uso dermatológico; gotas vitamínicas; harinas lacteadas para bebés; hidrolizados de proteína de suero de leche [complementos dietéticos]; hidrolizados de proteína de suero de leche [suplementos dietéticos]; hidrolizados de proteína de suero de leche en cuanto complementos dietéticos; hidrolizados de proteína de suero de leche en cuanto suplementos dietéticos; jabones antibacterianos; jabones antibacterianos para la piel; jabones carbólicos; jabones desinfectantes; jabones desinfectantes perfumados; leche en polvo para bebés; leche en polvo para bebés y lactantes; leche en polvo para bebés y niños pequeños; leche en polvo para lactantes; leche en polvo para niños pequeños; leche malteada en cuanto complementos alimenticios para bebés; leche malteada en cuanto complementos alimenticios para minusválidos; leche malteada en cuanto complementos alimenticios para personas discapacitadas; leche malteada en cuanto complementos alimenticios para personas minusválidas; leche malteada en cuanto suplementos alimenticios para bebés; leche malteada en cuanto suplementos alimenticios para minusválidos; leche malteada en cuanto suplementos alimenticios para personas discapacitadas; leche malteada en cuanto suplementos alimenticios para personas minusválidas; leche malteada para bebés; leche malteada para minusválidos; leche malteada para personas discapacitadas; leche malteada para personas minusválidas; leche para bebé; levadura de cerveza para ser utilizada como complementos alimenticios; levadura de cerveza para ser utilizada como suplementos alimenticios; mentol; mezclas de bebidas dietéticas en cuanto sustitutos de comidas; mezclas de bebidas dietéticas en cuanto sustitutos de comidas para uso nutricional; mezclas de bebidas dietéticas para aumentar el rendimiento deportivo; mezclas de bebidas dietéticas para aumentar el rendimiento deportivo para uso nutricional; mezclas de bebidas dietéticas para el aumento de peso; mezclas de bebidas dietéticas para el aumento de peso para uso nutricional; mezclas de bebidas dietéticas para el control de peso; mezclas de bebidas dietéticas para el control de peso para uso nutricional; mezclas de bebidas dietéticas para la pérdida de peso; mezclas de bebidas dietéticas para la pérdida de peso para uso nutricional; mezclas de bebidas dietéticas para mejorar el rendimiento; mezclas de bebidas dietéticas para mejorar el rendimiento para uso nutricional; mezclas de complementos nutricionales en polvo para bebidas; mezclas para bebidas en cuanto complementos dietéticos; multivitaminas; multivitamínicos; nutracéuticos utilizados como complementos dietéticos; pastillas antioxidantes; pastillas de miel de hierbas para la garganta; pastillas de vitaminas; pastillas efervescentes de vitaminas; pastillas para adelgazar; pastillas para la garganta; pastillas supresoras del apetito; polen de abeja utilizado como complemento dietético alimenticio; preparaciones a base de cafeína utilizadas como estimulantes; preparaciones alimenticias para bebés; preparaciones alimenticias para bebés y lactantes; preparaciones alimenticias para bebés y niños pequeños; preparaciones de oligoelementos para consumo humano; preparaciones de oligoelementos para uso humano; preparaciones de vitaminas para el consumo humano; preparaciones de vitaminas para la alimentación humana; preparaciones de vitaminas y minerales; preparaciones de vitaminas*; preparaciones dermatológicas; preparaciones dermocosméticas; preparaciones multivitamínicas; preparaciones neutracéuticas para personas; preparaciones neutracéuticas para seres humanos; preparaciones no médicas de oligoelementos para uso humano; preparaciones que contienen vitamina a; preparaciones que contienen vitamina b; preparaciones que contienen vitamina c; preparaciones que contienen vitamina d; preparaciones vitamínicas para el consumo humano; preparaciones vitamínicas para la alimentación humana; preparaciones y complementos nutricionales para la salud; preparaciones y complementos para la salud; preparaciones y suplementos nutricionales para la salud; preparaciones y suplementos para la salud; preparaciones y sustancias vitamínicas; preparados alimenticios para bebés y lactantes; preparados alimenticios para bebés y niños pequeños; preparados de oligoelementos para uso humano; preparados multivitamínicos; preparados neutracéuticos para personas; preparados neutracéuticos para seres humanos; preparados no médicos de oligoelementos para uso humano; preparados vitamínicos para el consumo humano; preparados vitamínicos para la alimentación humana; probióticos en cuanto complementos dietéticos; productos alimenticios para la alimentación enteral; proteína vegana en cuanto complemento nutricional de bebidas listas para beber; proteína vegana en cuanto suplemento nutricional de bebidas listas para beber; proteínas de suero [complementos dietéticos]; proteínas de suero de leche [complementos alimenticios]; proteínas de suero de leche [complementos nutricionales]; proteínas de suero de leche [suplementos alimenticios]; proteínas de suero de leche [suplementos dietéticos]; proteínas de suero de leche [suplementos nutricionales]; proteínas de suero de leche en cuanto complementos alimenticios; proteínas de suero de leche en cuanto complementos nutricionales; proteínas de suero de leche en cuanto suplementos alimenticios; proteínas de suero de leche en cuanto suplementos dietéticos; proteínas de suero de leche en cuanto suplementos nutricionales; proteínas de suero de leche en polvo [complementos nutricionales]; proteínas de suero de leche en polvo [suplementos nutricionales]; proteínas de suero de leche en polvo en cuanto complementos nutricionales; proteínas de suero de leche en polvo en cuanto suplementos nutricionales; proteínas de suero en cuanto complementos dietéticos; píldoras antioxidantes; píldoras de hierbas para el tratamiento de la diabetes; píldoras para adelgazar; píldoras supresoras del apetito; suplementos alimenticios; suplementos alimenticios a base de aceite de linaza; suplementos alimenticios a base de aceite de lino; suplementos alimenticios a base de albúmina; suplementos alimenticios a base de alginatos; suplementos alimenticios a base de aminoácidos; suplementos alimenticios a base de caseína; suplementos alimenticios a base de chlorella; suplementos alimenticios a base de cáñamo; suplementos alimenticios a base de enzimas; suplementos alimenticios a base de germen de trigo; suplementos alimenticios a base de glucosa; suplementos alimenticios a base de isoflavona de soja; suplementos alimenticios a base de jalea real; suplementos alimenticios a base de lecitina; suplementos alimenticios a base de levadura; suplementos alimenticios a base de levadura de cerveza; suplementos alimenticios a base de linaza; suplementos alimenticios a base de minerales; suplementos alimenticios a base de oligoelementos; suplementos alimenticios a base de polen; suplementos alimenticios a base de polen de pino; suplementos alimenticios a base de propóleos; suplementos alimenticios a base de proteínas; suplementos alimenticios a base de proteínas vegetales en forma de polvo; suplementos alimenticios a base de semillas de lino; suplementos alimenticios a base de yacón; suplementos alimenticios antioxidantes; suplementos alimenticios compuestos de aminoácidos; suplementos alimenticios dietéticos; suplementos alimenticios dietéticos a base de extractos de hierbas deshidratadas en cápsulas; suplementos alimenticios dietéticos en forma de cápsulas, que no sean para uso médico; suplementos alimenticios dietéticos en forma de gránulos; suplementos alimenticios dietéticos en forma de gránulos, que no sean para uso médico; suplementos alimenticios dietéticos en forma de polvo; suplementos alimenticios dietéticos en forma de polvo, que no sean para uso médico; suplementos alimenticios dietéticos en polvo; suplementos alimenticios dietéticos en polvo, que no sean para uso médico; suplementos alimenticios en polvo a base de cáñamo; suplementos alimenticios en polvo a base de proteinas; suplementos alimenticios en polvo a base de proteínas vegetales; suplementos alimenticios minerales; suplementos alimenticios minerales para seres humanos; suplementos alimenticios para humanos; suplementos alimenticios para personas; suplementos alimenticios para seres humanos; suplementos alimenticios probióticos; suplementos alimenticios probióticos en cápsulas; suplementos alimenticios proteicos en polvo; suplementos alimenticios que no sean para uso médico; suplementos de hierbas líquidos; suplementos de hierbas y dietéticos para facilitar la producción de leche en animales lactantes; suplementos de oligoelementos para productos alimenticios de consumo humano; suplementos de proteína de suero de leche; suplementos de proteínas para personas; suplementos de proteínas para seres humanos; suplementos de vitaminas para productos alimenticios de consumo humano; suplementos dietéticos; suplementos dietéticos a base de acai en polvo; suplementos dietéticos a base de aminoácidos; suplementos dietéticos a base de calostro; suplementos dietéticos a base de hierbas; suplementos dietéticos a base de minerales; suplementos dietéticos a base de oligoelementos; suplementos dietéticos compuestos principalmente de calcio; suplementos dietéticos compuestos principalmente de hierro; suplementos dietéticos compuestos principalmente de magnesio; suplementos dietéticos con efecto cosmético; suplementos dietéticos de agropiro; suplementos dietéticos de carbón activado; suplementos dietéticos de clorela; suplementos dietéticos de ácido fólico; suplementos dietéticos en forma de polvo; suplementos dietéticos en forma líquida; suplementos dietéticos en polvo a base de esporas de ganoderma lucidum; suplementos dietéticos para bebés; suplementos dietéticos para el control del peso corporal; suplementos dietéticos y nutricionales; suplementos medicinales para productos alimenticios de consumo humano; suplementos minerales para alimentos; suplementos nutricionales; suplementos nutricionales a base de cáñamo; suplementos nutricionales a base de extractos fúngicos; suplementos nutricionales compuestos principalmente de calcio; suplementos nutricionales compuestos principalmente de hierro; suplementos nutricionales compuestos principalmente de magnesio; suplementos nutricionales compuestos principalmente de zinc; suplementos nutricionales líquidos; suplementos nutricionales y alimenticios; suplementos nutricionales y dietéticos contra el envejecimiento del sistema inmunitario; suplementos nutricionales y dietéticos para el alivio del estrés; suplementos nutricionales y dietéticos para el fortalecimiento del sistema inmunitario; suplementos nutricionales y dietéticos para la desintoxicación; suplementos para el control de peso; suplementos probióticos; suplementos proteicos para seres humanos; suplementos vitamínicos líquidos; suplementos vitamínicos para productos alimenticios de consumo humano; suplementos y preparaciones dietéticas; suplementos y preparaciones nutricionales; sustancias dietéticas de vitaminas, minerales, aminoácidos y oligoelementos; sustancias dietéticas de vitaminas, minerales, aminoácidos y oligoelementos, ya sean por separado o combinadas; sustitutos de la leche materna; sustitutos de la leche para bebé; vitaminas; vitaminas de consistencia gomosa; vitaminas para adultos; vitaminas para bebés; vitaminas para embarazadas; vitaminas para niños; vitaminas prenatales; vitaminas, minerales y antioxidantes en cuanto complementos nutricionales y dietéticos; vitaminas, minerales y antioxidantes en cuanto suplementos nutricionales y dietéticos.
</t>
  </si>
  <si>
    <t>Coenplex</t>
  </si>
  <si>
    <t xml:space="preserve"> L ESSENSA COLOMBIA SAS  SIGLA. L'ESANS , Calle 71 A #22- 14, BOGOTÁ, D.C., CO</t>
  </si>
  <si>
    <t xml:space="preserve">5. Medicamentos; medicamentos de venta libre; medicamentos homeopáticos.
</t>
  </si>
  <si>
    <t>Redutrix</t>
  </si>
  <si>
    <t>Apetrix</t>
  </si>
  <si>
    <t>Graphypot</t>
  </si>
  <si>
    <t>FYSIKÓS</t>
  </si>
  <si>
    <t xml:space="preserve"> BIO HEALTHY S.A.S, CR 19A 8 35 BRR LOS CORTIJOS, VALLEDUPAR, CESAR, CO</t>
  </si>
  <si>
    <t xml:space="preserve">5. Aditivos minerales para productos alimenticios de consumo humano; agentes de acción retardada, a saber, comprimidos que permiten la liberación controlada de ingredientes activos de una amplia gama de productos farmacéuticos; agentes de acción retardada, a saber, cápsulas que permiten la liberación controlada de ingredientes activos de una amplia gama de productos farmacéuticos; agentes de acción retardada, a saber, polvos que permiten la liberación controlada de ingredientes activos de una amplia gama de productos farmacéuticos; agentes de administración de fármacos en cuanto obleas comestibles para envolver productos farmacéuticos en polvo; agentes de administración de fármacos en forma de obleas comestibles que contienen productos farmacéuticos en polvo; agentes de administración de fármacos que contienen compuestos que facilitan la administración de una amplia gama de productos farmacéuticos; almidón y productos amiláceos para uso dietético y farmacéutico; almidón y productos amiláceos para uso farmacéutico; complementos de oligoelementos para productos alimenticios de consumo humano; complementos de vitaminas para productos alimenticios de consumo humano; complementos medicinales para productos alimenticios de consumo humano; complementos vitamínicos para productos alimenticios de consumo humano; cápsulas de gelatina para productos farmacéuticos; cápsulas de gelatina vacías para productos farmacéuticos; cápsulas de polímeros dendriméricos para productos farmacéuticos; cápsulas vacías para productos farmacéuticos; esponjas impregnadas con productos químicos desinfectantes para uso en hospitales; esponjas impregnadas con productos químicos desinfectantes para uso en laboratorios; esponjas impregnadas con productos químicos desinfectantes para uso en los asientos de inodoros; parches cutáneos transdérmicos para el suministro de productos farmacéuticos; parches transdérmicos para la administración de productos farmacéuticos; preparaciones de proteínas para uso en cuanto aditivos de productos alimenticios para el consumo humano para uso médico; preparaciones de proteínas para uso en cuanto aditivos de productos alimenticios para la alimentación humana para uso médico; preparaciones proteicas para uso en cuanto aditivos de productos alimenticios para el consumo humano para uso médico; preparaciones sanitarias de higiene personal que no sean productos de tocador; preparados de proteínas para uso en cuanto aditivos de productos alimenticios para el consumo humano para uso médico; preparados de proteínas para uso en cuanto aditivos de productos alimenticios para la alimentación humana para uso médico; preparados proteicos para uso en cuanto aditivos de productos alimenticios para el consumo humano para uso médico; productos alimenticios de ginseng para uso médico; productos alimenticios de ginseng rojo para uso médico; productos alimenticios dietéticos enriquecidos con nutrientes para uso médico; productos alimenticios para la alimentación enteral; productos antibacterianos para lavar las manos; productos antibióticos para lavarse las manos; productos anticriptogámicos; productos antihemorroidales; productos antimicrobianos para lavarse las manos; productos antimoho; productos antiparasitarios; productos antipiréticos; productos antipolillas; productos antisépticos para el cuidado corporal; productos antisépticos para el cuidado del cuerpo; productos antiúricos; productos contra las polillas; productos cáusticos para uso farmacéutico; productos de fumigación para uso médico; productos de lavado insecticidas para uso veterinario; productos de limpieza antibacterianos; productos de limpieza desinfectantes para el baño; productos de limpieza desinfectantes para inodoros; productos de limpieza para la desinfección de frutas y hortalizas; productos de organoterapia; productos de pulverización contra insectos; productos de relleno dérmico inyectables; productos de uso médico para refrescar el aliento; productos derivados del procesamiento de cereales para uso médico; productos desinfectantes para lavarse las manos; productos dietéticos para usos médicos especiales [dietas equilibradas]; productos dietéticos y complementos nutricionales para uso médico; productos dietéticos y suplementos nutricionales para uso médico; productos farmacéuticos; productos farmacéuticos antibacterianos; productos farmacéuticos antidiabéticos; productos farmacéuticos cardiovasculares; productos farmacéuticos homeopáticos; productos farmacéuticos inyectables para el tratamiento de reacciones anafilácticas; productos farmacéuticos para el tratamiento de enfermedades infecciosas; productos farmacéuticos para el tratamiento de la enfermedad por radiación; productos farmacéuticos para el tratamiento de los síntomas de enfermedades de origen radiactivo; productos farmacéuticos para el tratamiento de trastornos de la erección; productos farmacéuticos para el tratamiento del cáncer; productos farmacéuticos para prevenir y tratar el cáncer; productos farmacéuticos para tratar enfermedades respiratorias; productos farmacéuticos para tratar enfermedades virales; productos farmacéuticos para tratar enfermedades óseas; productos farmacéuticos para tratar la disfunción eréctil; productos farmacéuticos para uso humano; productos farmacéuticos para uso ocular; productos farmacéuticos para uso oftalmológico; productos farmacéuticos que actúan sobre el sistema nervioso periférico; productos farmacéuticos que actúan sobre los órganos sensoriales; productos farmacéuticos, preparaciones para uso médico y veterinario; productos febrífugos; productos hematógenos; productos higiénicos para uso médico; productos higiénicos y sanitarios para uso médico; productos medicinales para el cuidado de la piel; productos medicinales para lavarse las manos; productos opoterápicos; productos optoterápicos; productos organoterapéuticos; productos para el control de alimañas; productos para el control de animales dañinos; productos para el control de plagas; productos para el cuidado de la piel, medicinales; productos para el frotado quirúrgico; productos para eliminar animales dañinos; productos para eliminar babosas; productos para eliminar larvas; productos para eliminar parásitos; productos para eliminar ratones; productos para eliminar roedores; productos para las callosidades; productos para las hemorroides; productos para las quemaduras; productos para lavar animales [insecticidas]; productos para lavar el ganado [insecticidas]; productos para lavar perros [insecticidas]; productos para los callos de los pies; productos para los sabañones; productos para purificar el aire; productos para refrescar el aliento de uso médico; productos quimioterapéuticos; productos químicos para tratar la filoxera; productos químicos para uso médico; productos radioactivos para uso médico; productos sanitarios para uso médico; productos y preparaciones medicinales para el cuidado de la piel; subproductos del procesamiento de cereales para uso dietético; subproductos del procesamiento de cereales para uso dietético o médico; suplementos de oligoelementos para productos alimenticios de consumo humano; suplementos de vitaminas para productos alimenticios de consumo humano; suplementos medicinales para productos alimenticios de consumo humano; suplementos vitamínicos para productos alimenticios de consumo humano.
</t>
  </si>
  <si>
    <t>DIFENEX</t>
  </si>
  <si>
    <t>RAUL ANDRE BORJA PRADO , Carrera  40 #4A-23 Barrio  NUEVA GRANADA, CALI, VALLE DEL CAUCA, CO</t>
  </si>
  <si>
    <t xml:space="preserve">5. Pesticidas para la agricultura.
</t>
  </si>
  <si>
    <t>SYMMETRIA MARIA ALEJANDRA TABORDA</t>
  </si>
  <si>
    <t>MARIA ALEJANDRA TABORDA SAMPER, Carrera 13 # 49-40 Consultorio 615, BOGOTÁ, D.C., CO</t>
  </si>
  <si>
    <t xml:space="preserve">3. Bálsamos [cremas] para disimular las imperfecciones de la piel; cosméticos en forma de cremas; cremas acondicionadoras; cremas acondicionadoras para la piel, de uso cosmético; cremas antiarrugas; cremas antiarrugas para uso cosmético; cremas antienvejecimiento; cremas antienvejecimiento para uso cosmético; cremas capilares; cremas con filtro solar para uso cosmético; cremas con vitamina a para uso cosmético; cremas corporales; cremas cosmética para el cuerpo; cremas cosméticas a base de extractos de plantas; cremas cosméticas de masaje; cremas cosméticas detoxificantes fitoactivas; cremas cosméticas nutritivas; cremas cosméticas para el cuidado de la piel; cremas cosméticas para el rostro; cremas cosméticas para el tratamiento de los labios; cremas cosméticas para la piel; cremas cosméticas para las manos; cremas cosméticas para pieles secas; cremas cosméticas para reafirmar la piel; cremas cosméticas para tonificar la piel; cremas cosméticas reafirmantes para el contorno de ojos; cremas de belleza para el rostro y el cuerpo; cremas de hidratación intensiva; cremas de limpieza; cremas exfoliantes; cremas faciales; cremas regeneradoras; cremas, aceites, lociones y preparaciones limpiadoras e hidratantes; cremas, aceites, lociones, aerosoles, lápices y bálsamos para uso cosmético; cremas, leches, lociones, geles y polvos cosméticos para la cara, el cuerpo y las manos; cremas, lociones y geles hidratantes; cremas, lociones y otras preparaciones cosméticas bronceadoras; geles, cremas y aceites de ducha; leches, geles, lociones y cremas desmaquillantes; lociones y cremas corporales perfumadas; mascarillas corporales en forma de cremas.
5. Cremas a base de hierbas para uso médico; cremas analgésicas para uso tópico; cremas analgésicas tópicas; cremas antibióticas; cremas antihistamínicas; cremas antimicóticas para uso médico; cremas de hidrocortisona para erupciones cutáneas; cremas de uso dermatológico; cremas labiales medicinales; cremas medicamentosas protectoras; cremas medicinales antibióticas de amplio espectro; cremas medicinales antibióticas polivalentes; cremas medicinales para los pies; cremas para uso dermatológico; gasas impregnadas de cremas medicinales; lociones y cremas medicamentosas para el cuerpo, piel, cara y manos.
44. Análisis médicos para el diagnóstico y tratamiento de personas; servicios de análisis médicos; servicios de análisis médicos con fines diagnósticos; servicios de análisis médicos para fines de tratamiento prestados por laboratorios médicos; servicios de análisis médicos prestados por laboratorios médicos con fines diagnósticos y terapéuticos; servicios médicos alternativos; servicios de exámenes de salud en el ámbito de la apnea del sueño; servicios de exámenes médicos en el ámbito de la apnea del sueño; servicios de asesoramiento y de consultoría de estilo de vida con fines médicos; servicios de laboratorios médicos para el análisis de muestras de sangre obtenidas de pacientes; análisis y tratamientos del plasma sanguíneo y de las células madre en cuanto servicios médicos; suministro de información sobre reconocimientos médicos; servicios médicos para el tratamiento del cáncer de piel; servicios de asesoramiento en materia de aparatos e instrumentos médicos; consultoría en productos farmacéuticos y médicos; servicios médicos y quirúrgicos; servicios prestados por médicos; servicios de médicos.
</t>
  </si>
  <si>
    <t>CALCIFORTE D</t>
  </si>
  <si>
    <t xml:space="preserve"> MEDIGEN S.A.S., CALLE 30 NO. 11G-46, CALI, VALLE DEL CAUCA, CO</t>
  </si>
  <si>
    <t>RADSKIN</t>
  </si>
  <si>
    <t>Diana Margarita Lafaurie Linero, Calle 104 N 53-93 apto 404 Edificio Prestige, BARRANQUILLA, ATLÁNTICO, CO</t>
  </si>
  <si>
    <t xml:space="preserve">3. Cremas cosméticas; cremas corporales; cremas para la piel de uso cosmético.
5. Cremas medicinales para la piel; cremas medicinales para la protección de la piel; cremas para uso dermatológico.
</t>
  </si>
  <si>
    <t>MFLUPAZ</t>
  </si>
  <si>
    <t xml:space="preserve"> MODERNATX, INC., 200 Technology Square,, CAMBRIDGE, MASSACHUSETTS 02139, US</t>
  </si>
  <si>
    <t>OXITOCINA VM</t>
  </si>
  <si>
    <t xml:space="preserve"> LABORATORIOS V.M. S.A.S, AUTOPISTA NORTE KILOMETRO 19, CHIA, CUNDINAMARCA, CO</t>
  </si>
  <si>
    <t>BIOSTAR BIOGAN</t>
  </si>
  <si>
    <t xml:space="preserve"> BIOSTAR PHARMACEUTICAL S.A, PARQUE INDUSTRIAL GRAN SABANA -Bodega M12. Vereda Tibitó, frente al autódromo de Tocancipá, (C/marca), en la variante Tocancipá - Zipaquirá., TOCANCIPA, CUNDINAMARCA, CO</t>
  </si>
  <si>
    <t>ANTALVET</t>
  </si>
  <si>
    <t>FRIPETS</t>
  </si>
  <si>
    <t>HALATAL</t>
  </si>
  <si>
    <t>PROLEVAN</t>
  </si>
  <si>
    <t>OLAM KAVANAH עולם כוונה</t>
  </si>
  <si>
    <t>Sanfer Farma, S.A.P.I. de C.V.,</t>
  </si>
  <si>
    <t xml:space="preserve"> CACAO KAVANAH S.A.S, CRA 14 #9A - 150 T4 AP202, CAJICA, CUNDINAMARCA 250240, CO</t>
  </si>
  <si>
    <t>3, 5, 30</t>
  </si>
  <si>
    <t xml:space="preserve">3. Preparaciones para blanquear y otras sustancias para lavar la ropa; preparaciones para limpiar, pulir, desengrasar y raspar; jabones no medicinales; productos de perfumería, aceites esenciales, cosméticos no medicinales, lociones capilares no medicinales; dentífricos no medicinales.
5. Productos farmacéuticos, preparaciones para uso médico y veterinario; productos higiénicos y sanitarios para uso médico; alimentos y sustancias dietéticas para uso médico o veterinario, alimentos para bebés; complementos alimenticios para personas o animales; emplastos, material para apósitos; material para empastes e improntas dentales; desinfectantes; productos para eliminar animales dañinos; fungicidas, herbicidas.
30. Café, té, cacao y sucedáneos del café; arroz; tapioca y sagú; harinas y preparaciones a base de cereales; pan, productos de pastelería y confitería; helados; azúcar, miel, jarabe de melaza; levadura, polvos de hornear; sal; mostaza; vinagre, salsas (condimentos); especias; hielo.
</t>
  </si>
  <si>
    <t>A-YEAST</t>
  </si>
  <si>
    <t xml:space="preserve"> CHURCH &amp; DWIGHT CO., INC., 500 CHARLES EWING BOULEVARD, EWING, NEW JERSEY 08628, ESTADOS UNIDOS DE AMÉRICA, EWING, NEW JERSEY, US</t>
  </si>
  <si>
    <t xml:space="preserve">5. Aditivos nutritivos para alimentos de animales.
</t>
  </si>
  <si>
    <t>ACID-A-PRO</t>
  </si>
  <si>
    <t>CRONOS</t>
  </si>
  <si>
    <t xml:space="preserve"> SODIAK S.A., AUTOPISTA MEDELLIN KM 1.5 VIA SIBERIA, PARQUE AGROINDUSTRIAL DE OCCIDENTE, PAO BODEGA 113, COTA, CUNDINAMARCA, CO</t>
  </si>
  <si>
    <t xml:space="preserve">5. Herbicidas.
</t>
  </si>
  <si>
    <t>FLORAPETS</t>
  </si>
  <si>
    <t>BIOSTAR PHARMACEUTICAL S.A.</t>
  </si>
  <si>
    <t xml:space="preserve"> MAGNOVET S.A.S., CALLE 68 NO. 61-26, BOGOTÁ, D.C., CO</t>
  </si>
  <si>
    <t xml:space="preserve">5. Esencias florales para uso veterinario.
</t>
  </si>
  <si>
    <t>Nombre corto OPOSITOR 1</t>
  </si>
  <si>
    <t>Dimed</t>
  </si>
  <si>
    <t>CocaCola</t>
  </si>
  <si>
    <t>Pampa</t>
  </si>
  <si>
    <t>NatuFresh</t>
  </si>
  <si>
    <t xml:space="preserve">MiguelM </t>
  </si>
  <si>
    <t>Opositor 2</t>
  </si>
  <si>
    <t>Glaxo</t>
  </si>
  <si>
    <t>SantaRita</t>
  </si>
  <si>
    <t>LabCompany</t>
  </si>
  <si>
    <t>Adiquim</t>
  </si>
  <si>
    <t>JuanL</t>
  </si>
  <si>
    <t>Jemie</t>
  </si>
  <si>
    <t>Prot&amp;Gam</t>
  </si>
  <si>
    <t>Furrypet's</t>
  </si>
  <si>
    <t>Apothekan</t>
  </si>
  <si>
    <t>Siegfried</t>
  </si>
  <si>
    <t>Farmabase</t>
  </si>
  <si>
    <t>Aventisub</t>
  </si>
  <si>
    <t>Colinagro</t>
  </si>
  <si>
    <t>Medicarte</t>
  </si>
  <si>
    <t>RedBull</t>
  </si>
  <si>
    <t>Genomma</t>
  </si>
  <si>
    <t>BioCrop</t>
  </si>
  <si>
    <t>Biochem</t>
  </si>
  <si>
    <t>Legrand</t>
  </si>
  <si>
    <t>Ipsen</t>
  </si>
  <si>
    <t>Sigra</t>
  </si>
  <si>
    <t>Finlay</t>
  </si>
  <si>
    <t>SinEmpCol</t>
  </si>
  <si>
    <t>Santher</t>
  </si>
  <si>
    <t>Kyrovet</t>
  </si>
  <si>
    <t>BlueZones</t>
  </si>
  <si>
    <t>JGB</t>
  </si>
  <si>
    <t>HealthyAm</t>
  </si>
  <si>
    <t>Novamed</t>
  </si>
  <si>
    <t>SueryBebi</t>
  </si>
  <si>
    <t>Victus</t>
  </si>
  <si>
    <t>NatNatGro</t>
  </si>
  <si>
    <t>Faris</t>
  </si>
  <si>
    <t>RichardC</t>
  </si>
  <si>
    <t>Vitalis</t>
  </si>
  <si>
    <t>Lovient</t>
  </si>
  <si>
    <t>4Life</t>
  </si>
  <si>
    <t>Vifor</t>
  </si>
  <si>
    <t>Medick</t>
  </si>
  <si>
    <t>CataTru</t>
  </si>
  <si>
    <t>Incobra</t>
  </si>
  <si>
    <t>Dermanat</t>
  </si>
  <si>
    <t>Medicine</t>
  </si>
  <si>
    <t>Selig</t>
  </si>
  <si>
    <t>Premex</t>
  </si>
  <si>
    <t>Naturasol</t>
  </si>
  <si>
    <t>Plaguex</t>
  </si>
  <si>
    <t>Meyer</t>
  </si>
  <si>
    <t>BelleExpr</t>
  </si>
  <si>
    <t>ComDeEmp</t>
  </si>
  <si>
    <t>Nefrovet</t>
  </si>
  <si>
    <t>GruAnim</t>
  </si>
  <si>
    <t>PrometicSa</t>
  </si>
  <si>
    <t>QuíYLub</t>
  </si>
  <si>
    <t>SociUniper</t>
  </si>
  <si>
    <t>Asequimicos</t>
  </si>
  <si>
    <t>PharCIA</t>
  </si>
  <si>
    <t>ManuelaG</t>
  </si>
  <si>
    <t>Keralty</t>
  </si>
  <si>
    <t>EssenExp</t>
  </si>
  <si>
    <t>LabLegrand</t>
  </si>
  <si>
    <t>Genbie</t>
  </si>
  <si>
    <t>SumiChem</t>
  </si>
  <si>
    <t>GWPharLim</t>
  </si>
  <si>
    <t>Bussie</t>
  </si>
  <si>
    <t>RoyalCanin</t>
  </si>
  <si>
    <t>Nestle</t>
  </si>
  <si>
    <t>ColecSur</t>
  </si>
  <si>
    <t>DianaCor</t>
  </si>
  <si>
    <t>LabZoo</t>
  </si>
  <si>
    <t>DKTCol</t>
  </si>
  <si>
    <t>LabCalier</t>
  </si>
  <si>
    <t>Sicmafarma</t>
  </si>
  <si>
    <t>Novartis</t>
  </si>
  <si>
    <t>Beiersdorf</t>
  </si>
  <si>
    <t>GuangDech</t>
  </si>
  <si>
    <t>Nutreo</t>
  </si>
  <si>
    <t>Nureo</t>
  </si>
  <si>
    <t>AndreaL</t>
  </si>
  <si>
    <t>Gondwana</t>
  </si>
  <si>
    <t>GumeniukM</t>
  </si>
  <si>
    <t>Luxembourg</t>
  </si>
  <si>
    <t>LifeheUni</t>
  </si>
  <si>
    <t>TridexFarma</t>
  </si>
  <si>
    <t>FamacDeCa</t>
  </si>
  <si>
    <t>Virbac</t>
  </si>
  <si>
    <t>CellsFarma</t>
  </si>
  <si>
    <t>AnasacCol</t>
  </si>
  <si>
    <t>BeaAndHea</t>
  </si>
  <si>
    <t>Ferring</t>
  </si>
  <si>
    <t>ProdVeter</t>
  </si>
  <si>
    <t>Farmex</t>
  </si>
  <si>
    <t>Clinique</t>
  </si>
  <si>
    <t>Biosidus</t>
  </si>
  <si>
    <t>MiPiel</t>
  </si>
  <si>
    <t>GelitaAG</t>
  </si>
  <si>
    <t>CarlosQ</t>
  </si>
  <si>
    <t>Isdin</t>
  </si>
  <si>
    <t>Avalon</t>
  </si>
  <si>
    <t>Pharvet</t>
  </si>
  <si>
    <t>Biostar</t>
  </si>
  <si>
    <t>GMBH</t>
  </si>
  <si>
    <t>JapanBio</t>
  </si>
  <si>
    <t>SavvyC</t>
  </si>
  <si>
    <t>BASF</t>
  </si>
  <si>
    <t>Limited</t>
  </si>
  <si>
    <t>CiplaLim</t>
  </si>
  <si>
    <t>Expo</t>
  </si>
  <si>
    <t>Megalabs</t>
  </si>
  <si>
    <t>Nutritec</t>
  </si>
  <si>
    <t>AlejandroL</t>
  </si>
  <si>
    <t>TQBrands</t>
  </si>
  <si>
    <t>SanferFar</t>
  </si>
  <si>
    <t>GeniveraC</t>
  </si>
  <si>
    <t>NordicPharm</t>
  </si>
  <si>
    <t>Tecnoquimicas</t>
  </si>
  <si>
    <t>Sanam</t>
  </si>
  <si>
    <t>EneBeve</t>
  </si>
  <si>
    <t>Mana</t>
  </si>
  <si>
    <t>Provet</t>
  </si>
  <si>
    <t>Ordesa</t>
  </si>
  <si>
    <t>Osa</t>
  </si>
  <si>
    <t>Ecar</t>
  </si>
  <si>
    <t>Naturfar</t>
  </si>
  <si>
    <t>Maver</t>
  </si>
  <si>
    <t>Merey</t>
  </si>
  <si>
    <t>HerroLab</t>
  </si>
  <si>
    <t>Promitec</t>
  </si>
  <si>
    <t>Quala</t>
  </si>
  <si>
    <t>Fiduciaria</t>
  </si>
  <si>
    <t>Knop</t>
  </si>
  <si>
    <t>Sannus</t>
  </si>
  <si>
    <t>Auteco</t>
  </si>
  <si>
    <t>Kraft</t>
  </si>
  <si>
    <t>Dior</t>
  </si>
  <si>
    <t>Marca</t>
  </si>
  <si>
    <t>Número de Expediente</t>
  </si>
  <si>
    <t xml:space="preserve">Descripción de Productos y Servicios </t>
  </si>
  <si>
    <t>LABORATORIOS MEDICK S.A.S.</t>
  </si>
  <si>
    <t>EN-R-G- FOODS, LLC</t>
  </si>
  <si>
    <t>136a</t>
  </si>
  <si>
    <t>135b</t>
  </si>
  <si>
    <t>7Convencion Interamericana Washington</t>
  </si>
  <si>
    <t>136b</t>
  </si>
  <si>
    <t>136c</t>
  </si>
  <si>
    <t>136d</t>
  </si>
  <si>
    <t>Art Opositor 2</t>
  </si>
  <si>
    <t>147</t>
  </si>
  <si>
    <t>136h</t>
  </si>
  <si>
    <t>135a</t>
  </si>
  <si>
    <t>137</t>
  </si>
  <si>
    <t>135e</t>
  </si>
  <si>
    <t>135i</t>
  </si>
  <si>
    <t>Nombre corto OPOSITOR 2</t>
  </si>
  <si>
    <t>Si</t>
  </si>
  <si>
    <t xml:space="preserve">Virbac Fortius L.A. </t>
  </si>
  <si>
    <t>135g</t>
  </si>
  <si>
    <t>OPOSITOR 1 a clase 5</t>
  </si>
  <si>
    <t>OPOSITOR 2 a clase 5</t>
  </si>
  <si>
    <t>154</t>
  </si>
  <si>
    <t>135f</t>
  </si>
  <si>
    <t>135c</t>
  </si>
  <si>
    <t xml:space="preserve">136a </t>
  </si>
  <si>
    <t>136e</t>
  </si>
  <si>
    <t>172</t>
  </si>
  <si>
    <t>Art OP 1</t>
  </si>
  <si>
    <t>Fundada OP 1</t>
  </si>
  <si>
    <t xml:space="preserve">Fundada OP 2 </t>
  </si>
  <si>
    <t>SOCIÉTÉ DES PRODUITS NESTLÉ S.A.</t>
  </si>
  <si>
    <t xml:space="preserve">Presenta Oposición </t>
  </si>
  <si>
    <t xml:space="preserve">Opositor 1  </t>
  </si>
  <si>
    <t>MOTIVO 1 Negación</t>
  </si>
  <si>
    <t>MOTIVO 2 Negación</t>
  </si>
  <si>
    <t>Jho</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</si>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</sst>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rgb="FF000000"/>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ont>
    <font>
      <b/>
      <sz val="13"/>
      <color theme="1"/>
      <name val="Calibri"/>
      <scheme val="minor"/>
    </font>
    <font>
      <sz val="11"/>
      <name val="Calibri"/>
    </font>
    <font>
      <b/>
      <sz val="13"/>
      <color theme="1"/>
      <name val="Calibri"/>
    </font>
    <font>
      <b/>
      <sz val="12"/>
      <color theme="1"/>
      <name val="Calibri"/>
    </font>
    <font>
      <sz val="13"/>
      <color theme="1"/>
      <name val="Calibri"/>
      <scheme val="minor"/>
    </font>
    <font>
      <u/>
      <sz val="12"/>
      <color rgb="FF0000FF"/>
      <name val="Calibri"/>
    </font>
    <font>
      <sz val="12"/>
      <color theme="1"/>
      <name val="Calibri"/>
    </font>
    <font>
      <sz val="11"/>
      <color theme="1"/>
      <name val="Calibri"/>
      <scheme val="minor"/>
    </font>
    <font>
      <sz val="12"/>
      <color theme="1"/>
      <name val="Calibri"/>
      <scheme val="minor"/>
    </font>
    <font>
      <u/>
      <sz val="12"/>
      <color rgb="FF0000FF"/>
      <name val="Calibri"/>
    </font>
    <font>
      <sz val="11"/>
      <color theme="1"/>
      <name val="Calibri"/>
      <scheme val="minor"/>
    </font>
    <font>
      <sz val="13"/>
      <color theme="1"/>
      <name val="Calibri"/>
    </font>
    <font>
      <u/>
      <sz val="12"/>
      <color rgb="FF0000FF"/>
      <name val="Calibri"/>
    </font>
    <font>
      <sz val="14"/>
      <color theme="1"/>
      <name val="Calibri"/>
    </font>
    <font>
      <u/>
      <sz val="12"/>
      <color rgb="FF0000FF"/>
      <name val="Calibri"/>
    </font>
    <font>
      <u/>
      <sz val="12"/>
      <color rgb="FF0000FF"/>
      <name val="Calibri"/>
    </font>
    <font>
      <u/>
      <sz val="12"/>
      <color rgb="FF0000FF"/>
      <name val="Calibri"/>
    </font>
    <font>
      <u/>
      <sz val="12"/>
      <color rgb="FF0000FF"/>
      <name val="Calibri"/>
    </font>
    <font>
      <u/>
      <sz val="12"/>
      <color rgb="FF0000FF"/>
      <name val="Calibri"/>
    </font>
    <font>
      <u/>
      <sz val="12"/>
      <color rgb="FF0000FF"/>
      <name val="Calibri"/>
    </font>
    <font>
      <u/>
      <sz val="12"/>
      <color rgb="FF0000FF"/>
      <name val="Calibri"/>
    </font>
    <font>
      <sz val="9"/>
      <color rgb="FF1F1F1F"/>
      <name val="&quot;Google Sans&quot;"/>
    </font>
    <font>
      <u/>
      <sz val="12"/>
      <color rgb="FF0000FF"/>
      <name val="Calibri"/>
    </font>
    <font>
      <b/>
      <sz val="12"/>
      <color theme="1"/>
      <name val="Calibri"/>
      <family val="2"/>
    </font>
    <font>
      <sz val="12"/>
      <color theme="1"/>
      <name val="Calibri"/>
      <family val="2"/>
    </font>
    <font>
      <b/>
      <sz val="13"/>
      <color theme="1"/>
      <name val="Calibri"/>
      <family val="2"/>
      <scheme val="minor"/>
    </font>
    <font>
      <sz val="11"/>
      <color rgb="FF000000"/>
      <name val="Calibri"/>
      <family val="2"/>
      <scheme val="minor"/>
    </font>
    <font>
      <sz val="11"/>
      <name val="Calibri"/>
      <family val="2"/>
      <scheme val="minor"/>
    </font>
    <font>
      <u/>
      <sz val="11"/>
      <color theme="10"/>
      <name val="Calibri"/>
      <scheme val="minor"/>
    </font>
    <font>
      <sz val="12"/>
      <color rgb="FFFF0000"/>
      <name val="Calibri"/>
      <family val="2"/>
      <scheme val="minor"/>
    </font>
  </fonts>
  <fills count="21">
    <fill>
      <patternFill patternType="none"/>
    </fill>
    <fill>
      <patternFill patternType="gray125"/>
    </fill>
    <fill>
      <patternFill patternType="solid">
        <fgColor rgb="FFB4A7D6"/>
        <bgColor rgb="FFB4A7D6"/>
      </patternFill>
    </fill>
    <fill>
      <patternFill patternType="solid">
        <fgColor rgb="FFFFD966"/>
        <bgColor rgb="FFFFD966"/>
      </patternFill>
    </fill>
    <fill>
      <patternFill patternType="solid">
        <fgColor rgb="FFF3F3F3"/>
        <bgColor rgb="FFF3F3F3"/>
      </patternFill>
    </fill>
    <fill>
      <patternFill patternType="solid">
        <fgColor rgb="FFF4CCCC"/>
        <bgColor rgb="FFF4CCCC"/>
      </patternFill>
    </fill>
    <fill>
      <patternFill patternType="solid">
        <fgColor rgb="FF8E7CC3"/>
        <bgColor rgb="FF8E7CC3"/>
      </patternFill>
    </fill>
    <fill>
      <patternFill patternType="solid">
        <fgColor rgb="FFFFE599"/>
        <bgColor rgb="FFFFE599"/>
      </patternFill>
    </fill>
    <fill>
      <patternFill patternType="solid">
        <fgColor rgb="FFD9EAD3"/>
        <bgColor rgb="FFD9EAD3"/>
      </patternFill>
    </fill>
    <fill>
      <patternFill patternType="solid">
        <fgColor rgb="FFFFF2CC"/>
        <bgColor rgb="FFFFF2CC"/>
      </patternFill>
    </fill>
    <fill>
      <patternFill patternType="solid">
        <fgColor theme="0"/>
        <bgColor theme="0"/>
      </patternFill>
    </fill>
    <fill>
      <patternFill patternType="solid">
        <fgColor rgb="FFEAD1DC"/>
        <bgColor rgb="FFEAD1DC"/>
      </patternFill>
    </fill>
    <fill>
      <patternFill patternType="solid">
        <fgColor rgb="FFFFFFFF"/>
        <bgColor rgb="FFFFFFFF"/>
      </patternFill>
    </fill>
    <fill>
      <patternFill patternType="solid">
        <fgColor rgb="FFFF00FF"/>
        <bgColor rgb="FFFF00FF"/>
      </patternFill>
    </fill>
    <fill>
      <patternFill patternType="solid">
        <fgColor rgb="FFFFFF00"/>
        <bgColor indexed="64"/>
      </patternFill>
    </fill>
    <fill>
      <patternFill patternType="solid">
        <fgColor rgb="FFFFFF00"/>
        <bgColor rgb="FFF4CCCC"/>
      </patternFill>
    </fill>
    <fill>
      <patternFill patternType="solid">
        <fgColor theme="9" tint="0.39997558519241921"/>
        <bgColor rgb="FFF3F3F3"/>
      </patternFill>
    </fill>
    <fill>
      <patternFill patternType="solid">
        <fgColor theme="9" tint="0.39997558519241921"/>
        <bgColor indexed="64"/>
      </patternFill>
    </fill>
    <fill>
      <patternFill patternType="solid">
        <fgColor rgb="FFFFFF00"/>
        <bgColor rgb="FF8E7CC3"/>
      </patternFill>
    </fill>
    <fill>
      <patternFill patternType="solid">
        <fgColor rgb="FFFFFF00"/>
        <bgColor rgb="FFFFD966"/>
      </patternFill>
    </fill>
    <fill>
      <patternFill patternType="solid">
        <fgColor rgb="FFFFFF00"/>
        <bgColor rgb="FFB4A7D6"/>
      </patternFill>
    </fill>
  </fills>
  <borders count="39">
    <border>
      <left/>
      <right/>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ck">
        <color rgb="FF000000"/>
      </bottom>
      <diagonal/>
    </border>
    <border>
      <left style="thin">
        <color rgb="FF000000"/>
      </left>
      <right/>
      <top/>
      <bottom/>
      <diagonal/>
    </border>
    <border>
      <left style="thin">
        <color rgb="FF000000"/>
      </left>
      <right/>
      <top style="thick">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ck">
        <color rgb="FF000000"/>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rgb="FF000000"/>
      </left>
      <right style="thin">
        <color rgb="FF000000"/>
      </right>
      <top style="thick">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medium">
        <color indexed="64"/>
      </right>
      <top style="thin">
        <color rgb="FF000000"/>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top style="thin">
        <color rgb="FF000000"/>
      </top>
      <bottom style="thin">
        <color rgb="FF000000"/>
      </bottom>
      <diagonal/>
    </border>
    <border>
      <left/>
      <right style="thin">
        <color rgb="FF000000"/>
      </right>
      <top style="thin">
        <color rgb="FF000000"/>
      </top>
      <bottom/>
      <diagonal/>
    </border>
  </borders>
  <cellStyleXfs count="2">
    <xf numFmtId="0" fontId="0" fillId="0" borderId="0"/>
    <xf numFmtId="0" fontId="34" fillId="0" borderId="0" applyNumberFormat="0" applyFill="0" applyBorder="0" applyAlignment="0" applyProtection="0"/>
  </cellStyleXfs>
  <cellXfs count="245">
    <xf numFmtId="0" fontId="0" fillId="0" borderId="0" xfId="0"/>
    <xf numFmtId="0" fontId="8" fillId="2" borderId="4" xfId="0" applyFont="1" applyFill="1" applyBorder="1" applyAlignment="1">
      <alignment horizontal="center" vertical="center" wrapText="1"/>
    </xf>
    <xf numFmtId="0" fontId="12" fillId="0" borderId="7" xfId="0" applyFont="1" applyBorder="1" applyAlignment="1">
      <alignment horizontal="center" vertical="center" wrapText="1"/>
    </xf>
    <xf numFmtId="0" fontId="14" fillId="0" borderId="9" xfId="0" applyFont="1" applyBorder="1" applyAlignment="1">
      <alignment horizontal="center" vertical="center"/>
    </xf>
    <xf numFmtId="0" fontId="5" fillId="0" borderId="7" xfId="0" applyFont="1" applyBorder="1" applyAlignment="1">
      <alignment horizontal="center" vertical="center" wrapText="1"/>
    </xf>
    <xf numFmtId="0" fontId="12" fillId="0" borderId="10" xfId="0" applyFont="1" applyBorder="1" applyAlignment="1">
      <alignment horizontal="center" vertical="center" wrapText="1"/>
    </xf>
    <xf numFmtId="0" fontId="14" fillId="0" borderId="12" xfId="0" applyFont="1" applyBorder="1" applyAlignment="1">
      <alignment horizontal="center" vertical="center"/>
    </xf>
    <xf numFmtId="0" fontId="5" fillId="0" borderId="10" xfId="0" applyFont="1" applyBorder="1" applyAlignment="1">
      <alignment horizontal="center" vertical="center" wrapText="1"/>
    </xf>
    <xf numFmtId="0" fontId="12" fillId="0" borderId="10" xfId="0" applyFont="1" applyBorder="1" applyAlignment="1">
      <alignment vertical="center" wrapText="1"/>
    </xf>
    <xf numFmtId="0" fontId="12" fillId="3" borderId="10" xfId="0" applyFont="1" applyFill="1" applyBorder="1" applyAlignment="1">
      <alignment vertical="center" wrapText="1"/>
    </xf>
    <xf numFmtId="0" fontId="12" fillId="3" borderId="10" xfId="0" applyFont="1" applyFill="1" applyBorder="1" applyAlignment="1">
      <alignment horizontal="center" vertical="center" wrapText="1"/>
    </xf>
    <xf numFmtId="0" fontId="14" fillId="3" borderId="12" xfId="0" applyFont="1" applyFill="1" applyBorder="1" applyAlignment="1">
      <alignment horizontal="center" vertical="center"/>
    </xf>
    <xf numFmtId="0" fontId="5" fillId="3" borderId="10" xfId="0" applyFont="1" applyFill="1" applyBorder="1" applyAlignment="1">
      <alignment horizontal="center" vertical="center" wrapText="1"/>
    </xf>
    <xf numFmtId="0" fontId="10" fillId="0" borderId="12" xfId="0" applyFont="1" applyBorder="1" applyAlignment="1">
      <alignment horizontal="center" vertical="center"/>
    </xf>
    <xf numFmtId="0" fontId="12" fillId="6" borderId="10" xfId="0" applyFont="1" applyFill="1" applyBorder="1" applyAlignment="1">
      <alignment vertical="center" wrapText="1"/>
    </xf>
    <xf numFmtId="0" fontId="12" fillId="6" borderId="10" xfId="0" applyFont="1" applyFill="1" applyBorder="1" applyAlignment="1">
      <alignment horizontal="center" vertical="center" wrapText="1"/>
    </xf>
    <xf numFmtId="0" fontId="14" fillId="6" borderId="12" xfId="0" applyFont="1" applyFill="1" applyBorder="1" applyAlignment="1">
      <alignment horizontal="center" vertical="center"/>
    </xf>
    <xf numFmtId="0" fontId="5" fillId="6" borderId="10" xfId="0" applyFont="1" applyFill="1" applyBorder="1" applyAlignment="1">
      <alignment horizontal="center" vertical="center" wrapText="1"/>
    </xf>
    <xf numFmtId="0" fontId="12" fillId="8" borderId="10" xfId="0" applyFont="1" applyFill="1" applyBorder="1" applyAlignment="1">
      <alignment vertical="center" wrapText="1"/>
    </xf>
    <xf numFmtId="0" fontId="12" fillId="8" borderId="10" xfId="0" applyFont="1" applyFill="1" applyBorder="1" applyAlignment="1">
      <alignment horizontal="center" vertical="center" wrapText="1"/>
    </xf>
    <xf numFmtId="0" fontId="14" fillId="8" borderId="12" xfId="0" applyFont="1" applyFill="1" applyBorder="1" applyAlignment="1">
      <alignment horizontal="center" vertical="center"/>
    </xf>
    <xf numFmtId="0" fontId="5" fillId="8" borderId="10" xfId="0" applyFont="1" applyFill="1" applyBorder="1" applyAlignment="1">
      <alignment horizontal="center" vertical="center" wrapText="1"/>
    </xf>
    <xf numFmtId="0" fontId="12" fillId="9" borderId="10" xfId="0" applyFont="1" applyFill="1" applyBorder="1" applyAlignment="1">
      <alignment vertical="center" wrapText="1"/>
    </xf>
    <xf numFmtId="0" fontId="12" fillId="9" borderId="10" xfId="0" applyFont="1" applyFill="1" applyBorder="1" applyAlignment="1">
      <alignment horizontal="center" vertical="center" wrapText="1"/>
    </xf>
    <xf numFmtId="0" fontId="14" fillId="9" borderId="12" xfId="0" applyFont="1" applyFill="1" applyBorder="1" applyAlignment="1">
      <alignment horizontal="center" vertical="center"/>
    </xf>
    <xf numFmtId="0" fontId="5" fillId="9" borderId="10" xfId="0" applyFont="1" applyFill="1" applyBorder="1" applyAlignment="1">
      <alignment horizontal="center" vertical="center" wrapText="1"/>
    </xf>
    <xf numFmtId="0" fontId="12" fillId="5" borderId="10" xfId="0" applyFont="1" applyFill="1" applyBorder="1" applyAlignment="1">
      <alignment vertical="center" wrapText="1"/>
    </xf>
    <xf numFmtId="0" fontId="12" fillId="5" borderId="10" xfId="0" applyFont="1" applyFill="1" applyBorder="1" applyAlignment="1">
      <alignment horizontal="center" vertical="center" wrapText="1"/>
    </xf>
    <xf numFmtId="0" fontId="14" fillId="5" borderId="12" xfId="0" applyFont="1" applyFill="1" applyBorder="1" applyAlignment="1">
      <alignment horizontal="center" vertical="center"/>
    </xf>
    <xf numFmtId="0" fontId="5" fillId="5" borderId="10" xfId="0" applyFont="1" applyFill="1" applyBorder="1" applyAlignment="1">
      <alignment horizontal="center" vertical="center" wrapText="1"/>
    </xf>
    <xf numFmtId="0" fontId="12" fillId="10" borderId="10" xfId="0" applyFont="1" applyFill="1" applyBorder="1" applyAlignment="1">
      <alignment vertical="center" wrapText="1"/>
    </xf>
    <xf numFmtId="0" fontId="12" fillId="10" borderId="10" xfId="0" applyFont="1" applyFill="1" applyBorder="1" applyAlignment="1">
      <alignment horizontal="center" vertical="center" wrapText="1"/>
    </xf>
    <xf numFmtId="0" fontId="14" fillId="10" borderId="12" xfId="0" applyFont="1" applyFill="1" applyBorder="1" applyAlignment="1">
      <alignment horizontal="center" vertical="center"/>
    </xf>
    <xf numFmtId="0" fontId="5" fillId="10" borderId="10" xfId="0" applyFont="1" applyFill="1" applyBorder="1" applyAlignment="1">
      <alignment horizontal="center" vertical="center" wrapText="1"/>
    </xf>
    <xf numFmtId="0" fontId="12" fillId="11" borderId="10" xfId="0" applyFont="1" applyFill="1" applyBorder="1" applyAlignment="1">
      <alignment vertical="center" wrapText="1"/>
    </xf>
    <xf numFmtId="0" fontId="12" fillId="11" borderId="10" xfId="0" applyFont="1" applyFill="1" applyBorder="1" applyAlignment="1">
      <alignment horizontal="center" vertical="center" wrapText="1"/>
    </xf>
    <xf numFmtId="0" fontId="14" fillId="11" borderId="12" xfId="0" applyFont="1" applyFill="1" applyBorder="1" applyAlignment="1">
      <alignment horizontal="center" vertical="center"/>
    </xf>
    <xf numFmtId="0" fontId="5" fillId="11" borderId="10" xfId="0" applyFont="1" applyFill="1" applyBorder="1" applyAlignment="1">
      <alignment horizontal="center" vertical="center" wrapText="1"/>
    </xf>
    <xf numFmtId="0" fontId="12" fillId="13" borderId="10" xfId="0" applyFont="1" applyFill="1" applyBorder="1" applyAlignment="1">
      <alignment vertical="center" wrapText="1"/>
    </xf>
    <xf numFmtId="0" fontId="12" fillId="13" borderId="10" xfId="0" applyFont="1" applyFill="1" applyBorder="1" applyAlignment="1">
      <alignment horizontal="center" vertical="center" wrapText="1"/>
    </xf>
    <xf numFmtId="0" fontId="14" fillId="13" borderId="12" xfId="0" applyFont="1" applyFill="1" applyBorder="1" applyAlignment="1">
      <alignment horizontal="center" vertical="center"/>
    </xf>
    <xf numFmtId="0" fontId="5" fillId="13" borderId="10" xfId="0" applyFont="1" applyFill="1" applyBorder="1" applyAlignment="1">
      <alignment horizontal="center" vertical="center" wrapText="1"/>
    </xf>
    <xf numFmtId="0" fontId="13" fillId="0" borderId="0" xfId="0" applyFont="1" applyAlignment="1">
      <alignment horizontal="center" vertical="center"/>
    </xf>
    <xf numFmtId="0" fontId="12" fillId="0" borderId="0" xfId="0" applyFont="1" applyAlignment="1">
      <alignment vertical="center" wrapText="1"/>
    </xf>
    <xf numFmtId="0" fontId="29" fillId="0" borderId="13" xfId="0" applyFont="1" applyBorder="1" applyAlignment="1">
      <alignment vertical="center" wrapText="1"/>
    </xf>
    <xf numFmtId="0" fontId="30" fillId="0" borderId="0" xfId="0" applyFont="1" applyAlignment="1">
      <alignment vertical="center" wrapText="1"/>
    </xf>
    <xf numFmtId="0" fontId="29" fillId="0" borderId="0" xfId="0" applyFont="1" applyAlignment="1">
      <alignment vertical="center" wrapText="1"/>
    </xf>
    <xf numFmtId="0" fontId="0" fillId="0" borderId="0" xfId="0" applyAlignment="1">
      <alignment vertical="center"/>
    </xf>
    <xf numFmtId="0" fontId="7" fillId="0" borderId="2" xfId="0" applyFont="1" applyBorder="1" applyAlignment="1">
      <alignment vertical="center"/>
    </xf>
    <xf numFmtId="0" fontId="13" fillId="0" borderId="0" xfId="0" applyFont="1" applyAlignment="1">
      <alignment vertical="center"/>
    </xf>
    <xf numFmtId="0" fontId="15" fillId="0" borderId="0" xfId="0" applyFont="1" applyAlignment="1">
      <alignment vertical="center" wrapText="1"/>
    </xf>
    <xf numFmtId="0" fontId="12" fillId="0" borderId="13" xfId="0" applyFont="1" applyBorder="1" applyAlignment="1">
      <alignment vertical="center" wrapText="1"/>
    </xf>
    <xf numFmtId="0" fontId="12" fillId="0" borderId="0" xfId="0" applyFont="1" applyAlignment="1">
      <alignment horizontal="center" vertical="center" wrapText="1"/>
    </xf>
    <xf numFmtId="0" fontId="13" fillId="4" borderId="0" xfId="0" applyFont="1" applyFill="1" applyAlignment="1">
      <alignment vertical="center"/>
    </xf>
    <xf numFmtId="0" fontId="14" fillId="0" borderId="0" xfId="0" applyFont="1" applyAlignment="1">
      <alignment horizontal="center" vertical="center"/>
    </xf>
    <xf numFmtId="0" fontId="5" fillId="0" borderId="0" xfId="0" applyFont="1" applyAlignment="1">
      <alignment horizontal="center" vertical="center" wrapText="1"/>
    </xf>
    <xf numFmtId="0" fontId="12" fillId="0" borderId="8" xfId="0" applyFont="1" applyBorder="1" applyAlignment="1">
      <alignment vertical="center" wrapText="1"/>
    </xf>
    <xf numFmtId="0" fontId="12" fillId="0" borderId="11" xfId="0" applyFont="1" applyBorder="1" applyAlignment="1">
      <alignment vertical="center" wrapText="1"/>
    </xf>
    <xf numFmtId="0" fontId="12" fillId="3" borderId="11" xfId="0" applyFont="1" applyFill="1" applyBorder="1" applyAlignment="1">
      <alignment vertical="center" wrapText="1"/>
    </xf>
    <xf numFmtId="0" fontId="17" fillId="0" borderId="11" xfId="0" applyFont="1" applyBorder="1" applyAlignment="1">
      <alignment vertical="center" wrapText="1"/>
    </xf>
    <xf numFmtId="0" fontId="12" fillId="6" borderId="11" xfId="0" applyFont="1" applyFill="1" applyBorder="1" applyAlignment="1">
      <alignment vertical="center" wrapText="1"/>
    </xf>
    <xf numFmtId="0" fontId="12" fillId="8" borderId="11" xfId="0" applyFont="1" applyFill="1" applyBorder="1" applyAlignment="1">
      <alignment vertical="center" wrapText="1"/>
    </xf>
    <xf numFmtId="0" fontId="12" fillId="5" borderId="11" xfId="0" applyFont="1" applyFill="1" applyBorder="1" applyAlignment="1">
      <alignment vertical="center" wrapText="1"/>
    </xf>
    <xf numFmtId="0" fontId="12" fillId="10" borderId="11" xfId="0" applyFont="1" applyFill="1" applyBorder="1" applyAlignment="1">
      <alignment vertical="center" wrapText="1"/>
    </xf>
    <xf numFmtId="0" fontId="12" fillId="11" borderId="11" xfId="0" applyFont="1" applyFill="1" applyBorder="1" applyAlignment="1">
      <alignment vertical="center" wrapText="1"/>
    </xf>
    <xf numFmtId="0" fontId="12" fillId="13" borderId="11" xfId="0" applyFont="1" applyFill="1" applyBorder="1" applyAlignment="1">
      <alignment vertical="center" wrapText="1"/>
    </xf>
    <xf numFmtId="0" fontId="12" fillId="0" borderId="17" xfId="0" applyFont="1" applyBorder="1" applyAlignment="1">
      <alignment horizontal="center" vertical="center" wrapText="1"/>
    </xf>
    <xf numFmtId="0" fontId="13" fillId="4" borderId="17" xfId="0" applyFont="1" applyFill="1" applyBorder="1" applyAlignment="1">
      <alignment vertical="center"/>
    </xf>
    <xf numFmtId="0" fontId="13" fillId="0" borderId="17" xfId="0" applyFont="1" applyBorder="1" applyAlignment="1">
      <alignment horizontal="center" vertical="center"/>
    </xf>
    <xf numFmtId="0" fontId="16" fillId="4" borderId="17" xfId="0" applyFont="1" applyFill="1" applyBorder="1" applyAlignment="1">
      <alignment horizontal="center" vertical="center" wrapText="1"/>
    </xf>
    <xf numFmtId="0" fontId="30" fillId="0" borderId="17" xfId="0" applyFont="1" applyBorder="1" applyAlignment="1">
      <alignment horizontal="center" vertical="center" wrapText="1"/>
    </xf>
    <xf numFmtId="0" fontId="16" fillId="0" borderId="17" xfId="0" applyFont="1" applyBorder="1" applyAlignment="1">
      <alignment horizontal="center" vertical="center" wrapText="1"/>
    </xf>
    <xf numFmtId="0" fontId="13" fillId="0" borderId="17" xfId="0" applyFont="1" applyBorder="1" applyAlignment="1">
      <alignment horizontal="center" vertical="center" wrapText="1"/>
    </xf>
    <xf numFmtId="0" fontId="12" fillId="3" borderId="17" xfId="0" applyFont="1" applyFill="1" applyBorder="1" applyAlignment="1">
      <alignment horizontal="center" vertical="center" wrapText="1"/>
    </xf>
    <xf numFmtId="0" fontId="13" fillId="3" borderId="17" xfId="0" applyFont="1" applyFill="1" applyBorder="1" applyAlignment="1">
      <alignment horizontal="center" vertical="center"/>
    </xf>
    <xf numFmtId="0" fontId="13" fillId="0" borderId="17" xfId="0" applyFont="1" applyBorder="1" applyAlignment="1">
      <alignment vertical="center"/>
    </xf>
    <xf numFmtId="0" fontId="17" fillId="0" borderId="17" xfId="0" applyFont="1" applyBorder="1" applyAlignment="1">
      <alignment horizontal="center" vertical="center" wrapText="1"/>
    </xf>
    <xf numFmtId="0" fontId="19" fillId="0" borderId="17" xfId="0" applyFont="1" applyBorder="1" applyAlignment="1">
      <alignment horizontal="center" vertical="center" wrapText="1"/>
    </xf>
    <xf numFmtId="0" fontId="12" fillId="6" borderId="17" xfId="0" applyFont="1" applyFill="1" applyBorder="1" applyAlignment="1">
      <alignment horizontal="center" vertical="center" wrapText="1"/>
    </xf>
    <xf numFmtId="0" fontId="16" fillId="6" borderId="17" xfId="0" applyFont="1" applyFill="1" applyBorder="1" applyAlignment="1">
      <alignment horizontal="center" vertical="center" wrapText="1"/>
    </xf>
    <xf numFmtId="0" fontId="13" fillId="6" borderId="17" xfId="0" applyFont="1" applyFill="1" applyBorder="1" applyAlignment="1">
      <alignment horizontal="center" vertical="center"/>
    </xf>
    <xf numFmtId="0" fontId="13" fillId="3" borderId="17" xfId="0" applyFont="1" applyFill="1" applyBorder="1" applyAlignment="1">
      <alignment vertical="center"/>
    </xf>
    <xf numFmtId="0" fontId="12" fillId="8" borderId="17" xfId="0" applyFont="1" applyFill="1" applyBorder="1" applyAlignment="1">
      <alignment horizontal="center" vertical="center" wrapText="1"/>
    </xf>
    <xf numFmtId="0" fontId="13" fillId="8" borderId="17" xfId="0" applyFont="1" applyFill="1" applyBorder="1" applyAlignment="1">
      <alignment vertical="center"/>
    </xf>
    <xf numFmtId="0" fontId="13" fillId="8" borderId="17" xfId="0" applyFont="1" applyFill="1" applyBorder="1" applyAlignment="1">
      <alignment horizontal="center" vertical="center"/>
    </xf>
    <xf numFmtId="0" fontId="12" fillId="9" borderId="17" xfId="0" applyFont="1" applyFill="1" applyBorder="1" applyAlignment="1">
      <alignment horizontal="center" vertical="center" wrapText="1"/>
    </xf>
    <xf numFmtId="0" fontId="12" fillId="5" borderId="17" xfId="0" applyFont="1" applyFill="1" applyBorder="1" applyAlignment="1">
      <alignment horizontal="center" vertical="center" wrapText="1"/>
    </xf>
    <xf numFmtId="0" fontId="13" fillId="5" borderId="17" xfId="0" applyFont="1" applyFill="1" applyBorder="1" applyAlignment="1">
      <alignment vertical="center"/>
    </xf>
    <xf numFmtId="0" fontId="13" fillId="5" borderId="17" xfId="0" applyFont="1" applyFill="1" applyBorder="1" applyAlignment="1">
      <alignment horizontal="center" vertical="center"/>
    </xf>
    <xf numFmtId="0" fontId="12" fillId="10" borderId="17" xfId="0" applyFont="1" applyFill="1" applyBorder="1" applyAlignment="1">
      <alignment horizontal="center" vertical="center" wrapText="1"/>
    </xf>
    <xf numFmtId="0" fontId="13" fillId="10" borderId="17" xfId="0" applyFont="1" applyFill="1" applyBorder="1" applyAlignment="1">
      <alignment vertical="center"/>
    </xf>
    <xf numFmtId="0" fontId="13" fillId="10" borderId="17" xfId="0" applyFont="1" applyFill="1" applyBorder="1" applyAlignment="1">
      <alignment horizontal="center" vertical="center"/>
    </xf>
    <xf numFmtId="0" fontId="12" fillId="11" borderId="17" xfId="0" applyFont="1" applyFill="1" applyBorder="1" applyAlignment="1">
      <alignment horizontal="center" vertical="center" wrapText="1"/>
    </xf>
    <xf numFmtId="0" fontId="13" fillId="11" borderId="17" xfId="0" applyFont="1" applyFill="1" applyBorder="1" applyAlignment="1">
      <alignment vertical="center"/>
    </xf>
    <xf numFmtId="0" fontId="13" fillId="11" borderId="17" xfId="0" applyFont="1" applyFill="1" applyBorder="1" applyAlignment="1">
      <alignment horizontal="center" vertical="center"/>
    </xf>
    <xf numFmtId="0" fontId="13" fillId="4" borderId="17" xfId="0" applyFont="1" applyFill="1" applyBorder="1" applyAlignment="1">
      <alignment vertical="center" wrapText="1"/>
    </xf>
    <xf numFmtId="49" fontId="13" fillId="0" borderId="17" xfId="0" applyNumberFormat="1" applyFont="1" applyBorder="1" applyAlignment="1">
      <alignment horizontal="center" vertical="center"/>
    </xf>
    <xf numFmtId="0" fontId="3" fillId="4" borderId="17" xfId="0" applyFont="1" applyFill="1" applyBorder="1" applyAlignment="1">
      <alignment vertical="center" wrapText="1"/>
    </xf>
    <xf numFmtId="0" fontId="12" fillId="13" borderId="17" xfId="0" applyFont="1" applyFill="1" applyBorder="1" applyAlignment="1">
      <alignment horizontal="center" vertical="center" wrapText="1"/>
    </xf>
    <xf numFmtId="0" fontId="13" fillId="13" borderId="17" xfId="0" applyFont="1" applyFill="1" applyBorder="1" applyAlignment="1">
      <alignment horizontal="center" vertical="center"/>
    </xf>
    <xf numFmtId="0" fontId="12" fillId="0" borderId="19" xfId="0" applyFont="1" applyBorder="1" applyAlignment="1">
      <alignment horizontal="center" vertical="center" wrapText="1"/>
    </xf>
    <xf numFmtId="0" fontId="13" fillId="4" borderId="20" xfId="0" applyFont="1" applyFill="1" applyBorder="1" applyAlignment="1">
      <alignment vertical="center"/>
    </xf>
    <xf numFmtId="0" fontId="13" fillId="0" borderId="20" xfId="0" applyFont="1" applyBorder="1" applyAlignment="1">
      <alignment horizontal="center" vertical="center"/>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30" fillId="0" borderId="21" xfId="0" applyFont="1" applyBorder="1" applyAlignment="1">
      <alignment horizontal="center" vertical="center" wrapText="1"/>
    </xf>
    <xf numFmtId="0" fontId="12" fillId="3" borderId="21" xfId="0" applyFont="1" applyFill="1" applyBorder="1" applyAlignment="1">
      <alignment horizontal="center" vertical="center" wrapText="1"/>
    </xf>
    <xf numFmtId="0" fontId="12" fillId="6" borderId="21" xfId="0" applyFont="1" applyFill="1" applyBorder="1" applyAlignment="1">
      <alignment horizontal="center" vertical="center" wrapText="1"/>
    </xf>
    <xf numFmtId="0" fontId="12" fillId="8" borderId="21" xfId="0" applyFont="1" applyFill="1" applyBorder="1" applyAlignment="1">
      <alignment horizontal="center" vertical="center" wrapText="1"/>
    </xf>
    <xf numFmtId="0" fontId="12" fillId="9" borderId="21" xfId="0" applyFont="1" applyFill="1" applyBorder="1" applyAlignment="1">
      <alignment horizontal="center" vertical="center" wrapText="1"/>
    </xf>
    <xf numFmtId="0" fontId="12" fillId="5" borderId="21" xfId="0" applyFont="1" applyFill="1" applyBorder="1" applyAlignment="1">
      <alignment horizontal="center" vertical="center" wrapText="1"/>
    </xf>
    <xf numFmtId="0" fontId="12" fillId="10" borderId="21" xfId="0" applyFont="1" applyFill="1" applyBorder="1" applyAlignment="1">
      <alignment horizontal="center" vertical="center" wrapText="1"/>
    </xf>
    <xf numFmtId="0" fontId="12" fillId="11" borderId="21" xfId="0" applyFont="1" applyFill="1" applyBorder="1" applyAlignment="1">
      <alignment horizontal="center" vertical="center" wrapText="1"/>
    </xf>
    <xf numFmtId="0" fontId="12" fillId="13" borderId="21" xfId="0" applyFont="1" applyFill="1" applyBorder="1" applyAlignment="1">
      <alignment horizontal="center" vertical="center" wrapText="1"/>
    </xf>
    <xf numFmtId="0" fontId="12" fillId="0" borderId="22" xfId="0" applyFont="1" applyBorder="1" applyAlignment="1">
      <alignment horizontal="center" vertical="center" wrapText="1"/>
    </xf>
    <xf numFmtId="0" fontId="13" fillId="4" borderId="23" xfId="0" applyFont="1" applyFill="1" applyBorder="1" applyAlignment="1">
      <alignment vertical="center"/>
    </xf>
    <xf numFmtId="0" fontId="13" fillId="0" borderId="23" xfId="0" applyFont="1" applyBorder="1" applyAlignment="1">
      <alignment horizontal="center" vertical="center"/>
    </xf>
    <xf numFmtId="0" fontId="12" fillId="0" borderId="23" xfId="0" applyFont="1" applyBorder="1" applyAlignment="1">
      <alignment horizontal="center" vertical="center" wrapText="1"/>
    </xf>
    <xf numFmtId="0" fontId="0" fillId="0" borderId="17" xfId="0" applyBorder="1" applyAlignment="1">
      <alignment vertical="center"/>
    </xf>
    <xf numFmtId="0" fontId="12" fillId="17" borderId="17" xfId="0" applyFont="1" applyFill="1" applyBorder="1" applyAlignment="1">
      <alignment horizontal="center" vertical="center" wrapText="1"/>
    </xf>
    <xf numFmtId="0" fontId="4" fillId="0" borderId="17" xfId="0" applyFont="1" applyBorder="1" applyAlignment="1">
      <alignment horizontal="center" vertical="center"/>
    </xf>
    <xf numFmtId="0" fontId="13" fillId="4" borderId="19" xfId="0" applyFont="1" applyFill="1" applyBorder="1" applyAlignment="1">
      <alignment vertical="center"/>
    </xf>
    <xf numFmtId="0" fontId="13" fillId="4" borderId="21" xfId="0" applyFont="1" applyFill="1" applyBorder="1" applyAlignment="1">
      <alignment vertical="center"/>
    </xf>
    <xf numFmtId="0" fontId="0" fillId="0" borderId="21" xfId="0" applyBorder="1" applyAlignment="1">
      <alignment vertical="center"/>
    </xf>
    <xf numFmtId="0" fontId="16" fillId="4" borderId="21" xfId="0" applyFont="1" applyFill="1" applyBorder="1" applyAlignment="1">
      <alignment horizontal="center" vertical="center" wrapText="1"/>
    </xf>
    <xf numFmtId="0" fontId="16" fillId="3" borderId="21" xfId="0" applyFont="1" applyFill="1" applyBorder="1" applyAlignment="1">
      <alignment horizontal="center" vertical="center" wrapText="1"/>
    </xf>
    <xf numFmtId="0" fontId="13" fillId="4" borderId="21" xfId="0" applyFont="1" applyFill="1" applyBorder="1" applyAlignment="1">
      <alignment horizontal="center" vertical="center" wrapText="1"/>
    </xf>
    <xf numFmtId="0" fontId="13" fillId="3" borderId="21" xfId="0" applyFont="1" applyFill="1" applyBorder="1" applyAlignment="1">
      <alignment vertical="center"/>
    </xf>
    <xf numFmtId="0" fontId="16" fillId="6" borderId="21" xfId="0" applyFont="1" applyFill="1" applyBorder="1" applyAlignment="1">
      <alignment horizontal="center" vertical="center" wrapText="1"/>
    </xf>
    <xf numFmtId="0" fontId="13" fillId="8" borderId="21" xfId="0" applyFont="1" applyFill="1" applyBorder="1" applyAlignment="1">
      <alignment vertical="center"/>
    </xf>
    <xf numFmtId="0" fontId="16" fillId="0" borderId="21" xfId="0" applyFont="1" applyBorder="1" applyAlignment="1">
      <alignment horizontal="center" vertical="center" wrapText="1"/>
    </xf>
    <xf numFmtId="0" fontId="13" fillId="5" borderId="21" xfId="0" applyFont="1" applyFill="1" applyBorder="1" applyAlignment="1">
      <alignment vertical="center"/>
    </xf>
    <xf numFmtId="0" fontId="13" fillId="10" borderId="21" xfId="0" applyFont="1" applyFill="1" applyBorder="1" applyAlignment="1">
      <alignment vertical="center"/>
    </xf>
    <xf numFmtId="0" fontId="13" fillId="11" borderId="21" xfId="0" applyFont="1" applyFill="1" applyBorder="1" applyAlignment="1">
      <alignment vertical="center"/>
    </xf>
    <xf numFmtId="0" fontId="27" fillId="12" borderId="21" xfId="0" applyFont="1" applyFill="1" applyBorder="1" applyAlignment="1">
      <alignment vertical="center"/>
    </xf>
    <xf numFmtId="0" fontId="27" fillId="0" borderId="21" xfId="0" applyFont="1" applyBorder="1" applyAlignment="1">
      <alignment vertical="center"/>
    </xf>
    <xf numFmtId="0" fontId="13" fillId="4" borderId="21" xfId="0" applyFont="1" applyFill="1" applyBorder="1" applyAlignment="1">
      <alignment vertical="center" wrapText="1"/>
    </xf>
    <xf numFmtId="0" fontId="13" fillId="13" borderId="21" xfId="0" applyFont="1" applyFill="1" applyBorder="1" applyAlignment="1">
      <alignment vertical="center"/>
    </xf>
    <xf numFmtId="0" fontId="13" fillId="4" borderId="22" xfId="0" applyFont="1" applyFill="1" applyBorder="1" applyAlignment="1">
      <alignment vertical="center"/>
    </xf>
    <xf numFmtId="0" fontId="0" fillId="0" borderId="0" xfId="0" applyAlignment="1">
      <alignment horizontal="center" vertical="center"/>
    </xf>
    <xf numFmtId="0" fontId="13" fillId="0" borderId="26" xfId="0" applyFont="1" applyBorder="1" applyAlignment="1">
      <alignment horizontal="center" vertical="center"/>
    </xf>
    <xf numFmtId="0" fontId="13" fillId="0" borderId="32" xfId="0" applyFont="1" applyBorder="1" applyAlignment="1">
      <alignment horizontal="center" vertical="center"/>
    </xf>
    <xf numFmtId="0" fontId="14" fillId="0" borderId="15" xfId="0" applyFont="1" applyBorder="1" applyAlignment="1">
      <alignment horizontal="center" vertical="center"/>
    </xf>
    <xf numFmtId="0" fontId="14" fillId="0" borderId="37" xfId="0" applyFont="1" applyBorder="1" applyAlignment="1">
      <alignment horizontal="center" vertical="center"/>
    </xf>
    <xf numFmtId="0" fontId="14" fillId="3" borderId="37" xfId="0" applyFont="1" applyFill="1" applyBorder="1" applyAlignment="1">
      <alignment horizontal="center" vertical="center"/>
    </xf>
    <xf numFmtId="0" fontId="10" fillId="0" borderId="37" xfId="0" applyFont="1" applyBorder="1" applyAlignment="1">
      <alignment horizontal="center" vertical="center"/>
    </xf>
    <xf numFmtId="0" fontId="14" fillId="6" borderId="37" xfId="0" applyFont="1" applyFill="1" applyBorder="1" applyAlignment="1">
      <alignment horizontal="center" vertical="center"/>
    </xf>
    <xf numFmtId="0" fontId="12" fillId="7" borderId="12" xfId="0" applyFont="1" applyFill="1" applyBorder="1" applyAlignment="1">
      <alignment horizontal="center" vertical="center" wrapText="1"/>
    </xf>
    <xf numFmtId="0" fontId="14" fillId="8" borderId="37" xfId="0" applyFont="1" applyFill="1" applyBorder="1" applyAlignment="1">
      <alignment horizontal="center" vertical="center"/>
    </xf>
    <xf numFmtId="0" fontId="14" fillId="9" borderId="37" xfId="0" applyFont="1" applyFill="1" applyBorder="1" applyAlignment="1">
      <alignment horizontal="center" vertical="center"/>
    </xf>
    <xf numFmtId="0" fontId="14" fillId="5" borderId="37" xfId="0" applyFont="1" applyFill="1" applyBorder="1" applyAlignment="1">
      <alignment horizontal="center" vertical="center"/>
    </xf>
    <xf numFmtId="0" fontId="14" fillId="10" borderId="37" xfId="0" applyFont="1" applyFill="1" applyBorder="1" applyAlignment="1">
      <alignment horizontal="center" vertical="center"/>
    </xf>
    <xf numFmtId="0" fontId="14" fillId="11" borderId="37" xfId="0" applyFont="1" applyFill="1" applyBorder="1" applyAlignment="1">
      <alignment horizontal="center" vertical="center"/>
    </xf>
    <xf numFmtId="0" fontId="14" fillId="13" borderId="37" xfId="0" applyFont="1" applyFill="1" applyBorder="1" applyAlignment="1">
      <alignment horizontal="center" vertical="center"/>
    </xf>
    <xf numFmtId="0" fontId="7" fillId="0" borderId="0" xfId="0" applyFont="1" applyAlignment="1">
      <alignment vertical="center"/>
    </xf>
    <xf numFmtId="0" fontId="29" fillId="2" borderId="18" xfId="0" applyFont="1" applyFill="1" applyBorder="1" applyAlignment="1">
      <alignment horizontal="center" vertical="center" wrapText="1"/>
    </xf>
    <xf numFmtId="0" fontId="12" fillId="0" borderId="14" xfId="0" applyFont="1" applyBorder="1" applyAlignment="1">
      <alignment horizontal="center" vertical="center" wrapText="1"/>
    </xf>
    <xf numFmtId="0" fontId="16" fillId="4" borderId="25" xfId="0" applyFont="1" applyFill="1" applyBorder="1" applyAlignment="1">
      <alignment horizontal="center" vertical="center" wrapText="1"/>
    </xf>
    <xf numFmtId="0" fontId="16" fillId="0" borderId="25" xfId="0" applyFont="1" applyBorder="1" applyAlignment="1">
      <alignment horizontal="center" vertical="center" wrapText="1"/>
    </xf>
    <xf numFmtId="0" fontId="12" fillId="0" borderId="27" xfId="0" applyFont="1" applyBorder="1" applyAlignment="1">
      <alignment horizontal="center" vertical="center" wrapText="1"/>
    </xf>
    <xf numFmtId="0" fontId="12" fillId="14" borderId="28" xfId="0" applyFont="1" applyFill="1" applyBorder="1" applyAlignment="1">
      <alignment horizontal="center" vertical="center" wrapText="1"/>
    </xf>
    <xf numFmtId="0" fontId="13" fillId="0" borderId="25" xfId="0" applyFont="1" applyBorder="1" applyAlignment="1">
      <alignment horizontal="center" vertical="center"/>
    </xf>
    <xf numFmtId="0" fontId="13" fillId="4" borderId="28" xfId="0" applyFont="1" applyFill="1" applyBorder="1" applyAlignment="1">
      <alignment horizontal="center" vertical="center"/>
    </xf>
    <xf numFmtId="0" fontId="12" fillId="0" borderId="30" xfId="0" applyFont="1" applyBorder="1" applyAlignment="1">
      <alignment horizontal="center" vertical="center" wrapText="1"/>
    </xf>
    <xf numFmtId="0" fontId="12" fillId="0" borderId="32" xfId="0" applyFont="1" applyBorder="1" applyAlignment="1">
      <alignment horizontal="center" vertical="center" wrapText="1"/>
    </xf>
    <xf numFmtId="0" fontId="13" fillId="4" borderId="29" xfId="0" applyFont="1" applyFill="1" applyBorder="1" applyAlignment="1">
      <alignment horizontal="center" vertical="center"/>
    </xf>
    <xf numFmtId="0" fontId="12" fillId="0" borderId="31" xfId="0" applyFont="1" applyBorder="1" applyAlignment="1">
      <alignment horizontal="center" vertical="center" wrapText="1"/>
    </xf>
    <xf numFmtId="0" fontId="12" fillId="0" borderId="33" xfId="0" applyFont="1" applyBorder="1" applyAlignment="1">
      <alignment horizontal="center" vertical="center" wrapText="1"/>
    </xf>
    <xf numFmtId="0" fontId="12" fillId="3" borderId="14" xfId="0" applyFont="1" applyFill="1" applyBorder="1" applyAlignment="1">
      <alignment horizontal="center" vertical="center" wrapText="1"/>
    </xf>
    <xf numFmtId="0" fontId="12" fillId="3" borderId="27" xfId="0" applyFont="1" applyFill="1" applyBorder="1" applyAlignment="1">
      <alignment horizontal="center" vertical="center" wrapText="1"/>
    </xf>
    <xf numFmtId="0" fontId="12" fillId="19" borderId="28" xfId="0" applyFont="1" applyFill="1" applyBorder="1" applyAlignment="1">
      <alignment horizontal="center" vertical="center" wrapText="1"/>
    </xf>
    <xf numFmtId="0" fontId="13" fillId="3" borderId="25" xfId="0" applyFont="1" applyFill="1" applyBorder="1" applyAlignment="1">
      <alignment horizontal="center" vertical="center"/>
    </xf>
    <xf numFmtId="0" fontId="13" fillId="4" borderId="25" xfId="0" applyFont="1" applyFill="1" applyBorder="1" applyAlignment="1">
      <alignment horizontal="center" vertical="center" wrapText="1"/>
    </xf>
    <xf numFmtId="0" fontId="13" fillId="0" borderId="34" xfId="0" applyFont="1" applyBorder="1" applyAlignment="1">
      <alignment horizontal="center" vertical="center"/>
    </xf>
    <xf numFmtId="0" fontId="17" fillId="0" borderId="27" xfId="0" applyFont="1" applyBorder="1" applyAlignment="1">
      <alignment horizontal="center" vertical="center" wrapText="1"/>
    </xf>
    <xf numFmtId="0" fontId="12" fillId="0" borderId="25" xfId="0" applyFont="1" applyBorder="1" applyAlignment="1">
      <alignment horizontal="center" vertical="center" wrapText="1"/>
    </xf>
    <xf numFmtId="0" fontId="16" fillId="4" borderId="28" xfId="0" applyFont="1" applyFill="1" applyBorder="1" applyAlignment="1">
      <alignment horizontal="center" vertical="center" wrapText="1"/>
    </xf>
    <xf numFmtId="0" fontId="12" fillId="0" borderId="26" xfId="0" applyFont="1" applyBorder="1" applyAlignment="1">
      <alignment horizontal="center" vertical="center" wrapText="1"/>
    </xf>
    <xf numFmtId="0" fontId="16" fillId="16" borderId="25" xfId="0" applyFont="1" applyFill="1" applyBorder="1" applyAlignment="1">
      <alignment horizontal="center" vertical="center" wrapText="1"/>
    </xf>
    <xf numFmtId="0" fontId="13" fillId="17" borderId="25" xfId="0" applyFont="1" applyFill="1" applyBorder="1" applyAlignment="1">
      <alignment horizontal="center" vertical="center"/>
    </xf>
    <xf numFmtId="0" fontId="16" fillId="16" borderId="34" xfId="0" applyFont="1" applyFill="1" applyBorder="1" applyAlignment="1">
      <alignment horizontal="center" vertical="center" wrapText="1"/>
    </xf>
    <xf numFmtId="0" fontId="12" fillId="0" borderId="34" xfId="0" applyFont="1" applyBorder="1" applyAlignment="1">
      <alignment horizontal="center" vertical="center" wrapText="1"/>
    </xf>
    <xf numFmtId="0" fontId="16" fillId="16" borderId="26" xfId="0" applyFont="1" applyFill="1" applyBorder="1" applyAlignment="1">
      <alignment horizontal="center" vertical="center" wrapText="1"/>
    </xf>
    <xf numFmtId="0" fontId="12" fillId="6" borderId="14" xfId="0" applyFont="1" applyFill="1" applyBorder="1" applyAlignment="1">
      <alignment horizontal="center" vertical="center" wrapText="1"/>
    </xf>
    <xf numFmtId="0" fontId="12" fillId="6" borderId="27" xfId="0" applyFont="1" applyFill="1" applyBorder="1" applyAlignment="1">
      <alignment horizontal="center" vertical="center" wrapText="1"/>
    </xf>
    <xf numFmtId="0" fontId="12" fillId="18" borderId="28" xfId="0" applyFont="1" applyFill="1" applyBorder="1" applyAlignment="1">
      <alignment horizontal="center" vertical="center" wrapText="1"/>
    </xf>
    <xf numFmtId="0" fontId="16" fillId="6" borderId="25" xfId="0" applyFont="1" applyFill="1" applyBorder="1" applyAlignment="1">
      <alignment horizontal="center" vertical="center" wrapText="1"/>
    </xf>
    <xf numFmtId="0" fontId="13" fillId="6" borderId="25" xfId="0" applyFont="1" applyFill="1" applyBorder="1" applyAlignment="1">
      <alignment horizontal="center" vertical="center"/>
    </xf>
    <xf numFmtId="0" fontId="12" fillId="5" borderId="14" xfId="0" applyFont="1" applyFill="1" applyBorder="1" applyAlignment="1">
      <alignment horizontal="center" vertical="center" wrapText="1"/>
    </xf>
    <xf numFmtId="0" fontId="12" fillId="5" borderId="27" xfId="0" applyFont="1" applyFill="1" applyBorder="1" applyAlignment="1">
      <alignment horizontal="center" vertical="center" wrapText="1"/>
    </xf>
    <xf numFmtId="0" fontId="12" fillId="15" borderId="28" xfId="0" applyFont="1" applyFill="1" applyBorder="1" applyAlignment="1">
      <alignment horizontal="center" vertical="center" wrapText="1"/>
    </xf>
    <xf numFmtId="0" fontId="13" fillId="5" borderId="25" xfId="0" applyFont="1" applyFill="1" applyBorder="1" applyAlignment="1">
      <alignment horizontal="center" vertical="center"/>
    </xf>
    <xf numFmtId="0" fontId="13" fillId="4" borderId="25" xfId="0" applyFont="1" applyFill="1" applyBorder="1" applyAlignment="1">
      <alignment horizontal="center" vertical="center"/>
    </xf>
    <xf numFmtId="0" fontId="13" fillId="0" borderId="25" xfId="0" applyFont="1" applyBorder="1" applyAlignment="1">
      <alignment horizontal="center" vertical="center" wrapText="1"/>
    </xf>
    <xf numFmtId="0" fontId="8" fillId="2" borderId="3" xfId="0" applyFont="1" applyFill="1" applyBorder="1" applyAlignment="1">
      <alignment horizontal="center" vertical="center" wrapText="1"/>
    </xf>
    <xf numFmtId="0" fontId="11" fillId="0" borderId="9" xfId="0" applyFont="1" applyBorder="1" applyAlignment="1">
      <alignment vertical="center" wrapText="1"/>
    </xf>
    <xf numFmtId="0" fontId="15" fillId="0" borderId="12" xfId="0" applyFont="1" applyBorder="1" applyAlignment="1">
      <alignment vertical="center" wrapText="1"/>
    </xf>
    <xf numFmtId="0" fontId="15" fillId="0" borderId="38" xfId="0" applyFont="1" applyBorder="1" applyAlignment="1">
      <alignment horizontal="center" vertical="center" wrapText="1"/>
    </xf>
    <xf numFmtId="0" fontId="15" fillId="0" borderId="9" xfId="0" applyFont="1" applyBorder="1" applyAlignment="1">
      <alignment horizontal="center" vertical="center" wrapText="1"/>
    </xf>
    <xf numFmtId="0" fontId="18" fillId="3" borderId="38" xfId="0" applyFont="1" applyFill="1" applyBorder="1" applyAlignment="1">
      <alignment horizontal="center" vertical="center" wrapText="1"/>
    </xf>
    <xf numFmtId="0" fontId="18" fillId="3" borderId="9" xfId="0" applyFont="1" applyFill="1" applyBorder="1" applyAlignment="1">
      <alignment horizontal="center" vertical="center" wrapText="1"/>
    </xf>
    <xf numFmtId="0" fontId="15" fillId="0" borderId="16" xfId="0" applyFont="1" applyBorder="1" applyAlignment="1">
      <alignment horizontal="center" vertical="center" wrapText="1"/>
    </xf>
    <xf numFmtId="0" fontId="20" fillId="6" borderId="12" xfId="0" applyFont="1" applyFill="1" applyBorder="1" applyAlignment="1">
      <alignment vertical="center" wrapText="1"/>
    </xf>
    <xf numFmtId="0" fontId="18" fillId="3" borderId="12" xfId="0" applyFont="1" applyFill="1" applyBorder="1" applyAlignment="1">
      <alignment vertical="center" wrapText="1"/>
    </xf>
    <xf numFmtId="0" fontId="21" fillId="0" borderId="12" xfId="0" applyFont="1" applyBorder="1" applyAlignment="1">
      <alignment vertical="center" wrapText="1"/>
    </xf>
    <xf numFmtId="0" fontId="22" fillId="8" borderId="12" xfId="0" applyFont="1" applyFill="1" applyBorder="1" applyAlignment="1">
      <alignment vertical="center" wrapText="1"/>
    </xf>
    <xf numFmtId="0" fontId="20" fillId="6" borderId="38" xfId="0" applyFont="1" applyFill="1" applyBorder="1" applyAlignment="1">
      <alignment horizontal="center" vertical="center" wrapText="1"/>
    </xf>
    <xf numFmtId="0" fontId="20" fillId="6" borderId="9" xfId="0" applyFont="1" applyFill="1" applyBorder="1" applyAlignment="1">
      <alignment horizontal="center" vertical="center" wrapText="1"/>
    </xf>
    <xf numFmtId="0" fontId="23" fillId="9" borderId="12" xfId="0" applyFont="1" applyFill="1" applyBorder="1" applyAlignment="1">
      <alignment vertical="center" wrapText="1"/>
    </xf>
    <xf numFmtId="0" fontId="24" fillId="5" borderId="38" xfId="0" applyFont="1" applyFill="1" applyBorder="1" applyAlignment="1">
      <alignment horizontal="center" vertical="center" wrapText="1"/>
    </xf>
    <xf numFmtId="0" fontId="24" fillId="5" borderId="16" xfId="0" applyFont="1" applyFill="1" applyBorder="1" applyAlignment="1">
      <alignment horizontal="center" vertical="center" wrapText="1"/>
    </xf>
    <xf numFmtId="0" fontId="24" fillId="5" borderId="9" xfId="0" applyFont="1" applyFill="1" applyBorder="1" applyAlignment="1">
      <alignment horizontal="center" vertical="center" wrapText="1"/>
    </xf>
    <xf numFmtId="0" fontId="25" fillId="10" borderId="12" xfId="0" applyFont="1" applyFill="1" applyBorder="1" applyAlignment="1">
      <alignment vertical="center" wrapText="1"/>
    </xf>
    <xf numFmtId="0" fontId="26" fillId="11" borderId="12" xfId="0" applyFont="1" applyFill="1" applyBorder="1" applyAlignment="1">
      <alignment vertical="center" wrapText="1"/>
    </xf>
    <xf numFmtId="0" fontId="24" fillId="5" borderId="12" xfId="0" applyFont="1" applyFill="1" applyBorder="1" applyAlignment="1">
      <alignment vertical="center" wrapText="1"/>
    </xf>
    <xf numFmtId="0" fontId="28" fillId="13" borderId="12" xfId="0" applyFont="1" applyFill="1" applyBorder="1" applyAlignment="1">
      <alignment vertical="center" wrapText="1"/>
    </xf>
    <xf numFmtId="0" fontId="17" fillId="0" borderId="35" xfId="0" applyFont="1" applyBorder="1" applyAlignment="1">
      <alignment horizontal="center" vertical="center" wrapText="1"/>
    </xf>
    <xf numFmtId="0" fontId="17" fillId="0" borderId="36" xfId="0" applyFont="1" applyBorder="1" applyAlignment="1">
      <alignment horizontal="center" vertical="center" wrapText="1"/>
    </xf>
    <xf numFmtId="0" fontId="12" fillId="0" borderId="35" xfId="0" applyFont="1" applyBorder="1" applyAlignment="1">
      <alignment horizontal="center" vertical="center" wrapText="1"/>
    </xf>
    <xf numFmtId="0" fontId="2" fillId="0" borderId="25" xfId="0" applyFont="1" applyBorder="1" applyAlignment="1">
      <alignment horizontal="center" vertical="center" wrapText="1"/>
    </xf>
    <xf numFmtId="0" fontId="2" fillId="4" borderId="17" xfId="0" applyFont="1" applyFill="1" applyBorder="1" applyAlignment="1">
      <alignment vertical="center"/>
    </xf>
    <xf numFmtId="0" fontId="2" fillId="4" borderId="25" xfId="0" applyFont="1" applyFill="1" applyBorder="1" applyAlignment="1">
      <alignment horizontal="center" vertical="center" wrapText="1"/>
    </xf>
    <xf numFmtId="0" fontId="2" fillId="0" borderId="17" xfId="0" applyFont="1" applyBorder="1" applyAlignment="1">
      <alignment horizontal="center" vertical="center" wrapText="1"/>
    </xf>
    <xf numFmtId="0" fontId="2" fillId="4" borderId="17" xfId="0" applyFont="1" applyFill="1" applyBorder="1" applyAlignment="1">
      <alignment horizontal="center" vertical="center" wrapText="1"/>
    </xf>
    <xf numFmtId="0" fontId="2" fillId="4" borderId="25" xfId="0" applyFont="1" applyFill="1" applyBorder="1" applyAlignment="1">
      <alignment horizontal="center" vertical="center"/>
    </xf>
    <xf numFmtId="0" fontId="2" fillId="16" borderId="28" xfId="0" applyFont="1" applyFill="1" applyBorder="1" applyAlignment="1">
      <alignment horizontal="center" vertical="center" wrapText="1"/>
    </xf>
    <xf numFmtId="0" fontId="2" fillId="6" borderId="21" xfId="0" applyFont="1" applyFill="1" applyBorder="1" applyAlignment="1">
      <alignment horizontal="center" vertical="center"/>
    </xf>
    <xf numFmtId="0" fontId="2" fillId="4" borderId="30" xfId="0" applyFont="1" applyFill="1" applyBorder="1" applyAlignment="1">
      <alignment horizontal="center" vertical="center" wrapText="1"/>
    </xf>
    <xf numFmtId="0" fontId="2" fillId="3" borderId="25" xfId="0" applyFont="1" applyFill="1" applyBorder="1" applyAlignment="1">
      <alignment horizontal="center" vertical="center" wrapText="1"/>
    </xf>
    <xf numFmtId="0" fontId="1" fillId="0" borderId="17" xfId="0" applyFont="1" applyBorder="1" applyAlignment="1">
      <alignment horizontal="center" vertical="center"/>
    </xf>
    <xf numFmtId="0" fontId="33" fillId="0" borderId="0" xfId="0" applyFont="1" applyAlignment="1">
      <alignment horizontal="center" vertical="center"/>
    </xf>
    <xf numFmtId="0" fontId="32" fillId="0" borderId="0" xfId="0" applyFont="1" applyAlignment="1">
      <alignment vertical="center"/>
    </xf>
    <xf numFmtId="0" fontId="34" fillId="0" borderId="38" xfId="1" applyBorder="1" applyAlignment="1">
      <alignment horizontal="center" vertical="center" wrapText="1"/>
    </xf>
    <xf numFmtId="0" fontId="31"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8" fillId="20" borderId="4" xfId="0" applyFont="1" applyFill="1" applyBorder="1" applyAlignment="1">
      <alignment horizontal="center" vertical="center" wrapText="1"/>
    </xf>
    <xf numFmtId="0" fontId="29" fillId="20" borderId="5" xfId="0" applyFont="1" applyFill="1" applyBorder="1" applyAlignment="1">
      <alignment horizontal="center" vertical="center" wrapText="1"/>
    </xf>
    <xf numFmtId="0" fontId="9" fillId="20" borderId="5" xfId="0" applyFont="1" applyFill="1" applyBorder="1" applyAlignment="1">
      <alignment horizontal="center" vertical="center" wrapText="1"/>
    </xf>
    <xf numFmtId="0" fontId="29" fillId="20" borderId="13" xfId="0" applyFont="1" applyFill="1" applyBorder="1" applyAlignment="1">
      <alignment horizontal="center" vertical="center" wrapText="1"/>
    </xf>
    <xf numFmtId="0" fontId="12" fillId="0" borderId="28" xfId="0" applyFont="1" applyFill="1" applyBorder="1" applyAlignment="1">
      <alignment horizontal="center" vertical="center" wrapText="1"/>
    </xf>
    <xf numFmtId="0" fontId="9" fillId="20" borderId="6" xfId="0" applyFont="1" applyFill="1" applyBorder="1" applyAlignment="1">
      <alignment horizontal="center" vertical="center" wrapText="1"/>
    </xf>
    <xf numFmtId="0" fontId="29" fillId="20" borderId="24" xfId="0" applyFont="1" applyFill="1" applyBorder="1" applyAlignment="1">
      <alignment horizontal="center" vertical="center" wrapText="1"/>
    </xf>
    <xf numFmtId="0" fontId="29" fillId="20" borderId="4" xfId="0" applyFont="1" applyFill="1" applyBorder="1" applyAlignment="1">
      <alignment horizontal="center" vertical="center" wrapText="1"/>
    </xf>
    <xf numFmtId="0" fontId="9" fillId="20" borderId="4" xfId="0" applyFont="1" applyFill="1" applyBorder="1" applyAlignment="1">
      <alignment horizontal="center" vertical="center" wrapText="1"/>
    </xf>
    <xf numFmtId="0" fontId="35" fillId="14" borderId="12" xfId="0" applyFont="1" applyFill="1" applyBorder="1" applyAlignment="1">
      <alignment horizontal="center" vertical="center"/>
    </xf>
  </cellXfs>
  <cellStyles count="2">
    <cellStyle name="Hyperlink" xfId="1" builtinId="8"/>
    <cellStyle name="Normal" xfId="0" builtinId="0"/>
  </cellStyles>
  <dxfs count="22">
    <dxf>
      <fill>
        <patternFill patternType="solid">
          <fgColor rgb="FFB7E1CD"/>
          <bgColor rgb="FFB7E1CD"/>
        </patternFill>
      </fill>
    </dxf>
    <dxf>
      <fill>
        <patternFill patternType="solid">
          <fgColor rgb="FFB7E1CD"/>
          <bgColor rgb="FFB7E1CD"/>
        </patternFill>
      </fill>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fill>
        <patternFill patternType="solid">
          <fgColor rgb="FFFFD966"/>
          <bgColor rgb="FFFFD966"/>
        </patternFill>
      </fill>
      <alignment horizontal="center" vertical="center" textRotation="0" wrapText="0"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minor"/>
      </font>
      <alignment horizontal="center" vertical="center" textRotation="0" wrapText="0"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solid">
          <fgColor rgb="FFF3F3F3"/>
          <bgColor rgb="FFF3F3F3"/>
        </patternFill>
      </fill>
      <alignment horizontal="general"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solid">
          <fgColor rgb="FFF3F3F3"/>
          <bgColor rgb="FFF3F3F3"/>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scheme val="none"/>
      </font>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scheme val="none"/>
      </font>
      <alignment horizontal="general"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ertAlign val="baseline"/>
        <sz val="12"/>
        <color rgb="FF0000FF"/>
        <name val="Calibri"/>
        <scheme val="none"/>
      </font>
      <alignment horizontal="general"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ck">
          <color rgb="FF000000"/>
        </left>
      </border>
    </dxf>
    <dxf>
      <font>
        <b/>
        <i val="0"/>
        <strike val="0"/>
        <condense val="0"/>
        <extend val="0"/>
        <outline val="0"/>
        <shadow val="0"/>
        <u val="none"/>
        <vertAlign val="baseline"/>
        <sz val="13"/>
        <color theme="1"/>
        <name val="Calibri"/>
        <scheme val="none"/>
      </font>
      <fill>
        <patternFill patternType="solid">
          <fgColor rgb="FFB4A7D6"/>
          <bgColor rgb="FFB4A7D6"/>
        </patternFill>
      </fill>
      <alignment horizontal="center" vertical="center" textRotation="0" wrapText="1" indent="0" justifyLastLine="0" shrinkToFit="0" readingOrder="0"/>
      <border diagonalUp="0" diagonalDown="0" outline="0">
        <left style="thick">
          <color rgb="FF000000"/>
        </left>
        <right style="thick">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theme" Target="theme/theme1.xml"/><Relationship Id="rId25"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8" Type="http://schemas.openxmlformats.org/officeDocument/2006/relationships/sharedStrings" Target="sharedStrings.xml"/><Relationship Id="rId27"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323EDD-7B29-4703-89CD-31F76002BFDB}" name="Tabla22" displayName="Tabla22" ref="A2:R700" totalsRowShown="0" headerRowDxfId="21" tableBorderDxfId="20">
  <autoFilter ref="A2:R700" xr:uid="{E8323EDD-7B29-4703-89CD-31F76002BFDB}">
    <filterColumn colId="8">
      <customFilters>
        <customFilter operator="notEqual" val=" "/>
      </customFilters>
    </filterColumn>
  </autoFilter>
  <tableColumns count="18">
    <tableColumn id="1" xr3:uid="{D2F7CD23-FA83-47FC-A13D-E2A1E14EFB0F}" name="Número de Expediente" dataDxfId="19"/>
    <tableColumn id="2" xr3:uid="{84759D5D-C875-4615-B36A-1579B691EB76}" name="Marca" dataDxfId="18"/>
    <tableColumn id="3" xr3:uid="{9733C4DC-EAE5-4255-9DF4-9A79715AD1CB}" name="Naturaleza" dataDxfId="17"/>
    <tableColumn id="4" xr3:uid="{D6E7717F-475D-4F25-BA9E-E0BB959081F4}" name="Presenta Oposición " dataDxfId="16"/>
    <tableColumn id="5" xr3:uid="{3AE73026-D2D3-46CB-AD21-C5126798EF90}" name="Opositor 1  " dataDxfId="15"/>
    <tableColumn id="6" xr3:uid="{80C30562-BF25-4F17-A612-7ED8938DB70B}" name="Nombre corto OPOSITOR 1" dataDxfId="14"/>
    <tableColumn id="7" xr3:uid="{BC2DFED0-4665-46B0-95CE-9964AA7A6FEB}" name="Art OP 1" dataDxfId="13"/>
    <tableColumn id="8" xr3:uid="{6FF582C2-AAC6-438E-8066-1DEEEAFE50F9}" name="Fundada OP 1" dataDxfId="12"/>
    <tableColumn id="9" xr3:uid="{4159013C-F6C6-49C3-BEF0-08C95385C8FF}" name="Opositor 2" dataDxfId="11"/>
    <tableColumn id="10" xr3:uid="{85240D1A-8BF3-4B18-984E-D7D1874B1E30}" name="Nombre corto OPOSITOR 2" dataDxfId="10"/>
    <tableColumn id="11" xr3:uid="{D073BDFD-ED21-4656-A4D8-BA7E754C5F84}" name="Art Opositor 2" dataDxfId="9"/>
    <tableColumn id="12" xr3:uid="{D5B409DD-C57F-4724-9DB2-FAA16B69ED4F}" name="Fundada OP 2 " dataDxfId="8"/>
    <tableColumn id="13" xr3:uid="{A79A285F-E278-4F2C-ADFC-9A84821167E3}" name="MOTIVO 1 Negación" dataDxfId="7"/>
    <tableColumn id="14" xr3:uid="{8C3F2552-3A3C-4538-BB8F-23840EC4C0E5}" name="MOTIVO 2 Negación" dataDxfId="6"/>
    <tableColumn id="15" xr3:uid="{2543D11B-FD2B-4C95-A9A7-E68F9D178B36}" name="Apelación a la negación" dataDxfId="5"/>
    <tableColumn id="16" xr3:uid="{F7F1E9C6-4105-4EFE-A2A1-9FDA107A0A5D}" name="Titular" dataDxfId="4"/>
    <tableColumn id="17" xr3:uid="{62505C7D-9C82-48E1-ACCC-8C62C28A92BA}" name="NIZA" dataDxfId="3"/>
    <tableColumn id="18" xr3:uid="{15518FA9-E295-4625-8580-65CD1758351A}" name="Descripción de Productos y Servicios " dataDxfId="2"/>
  </tableColumns>
  <tableStyleInfo name="TableStyleLight4"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ipi.sic.gov.co/sipi/View.ashx?41244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E0616-F785-4466-BCAE-FF70D835E573}">
  <dimension ref="A1:R1017"/>
  <sheetViews>
    <sheetView tabSelected="1" zoomScaleNormal="100" workbookViewId="0">
      <selection activeCell="C733" sqref="C733"/>
    </sheetView>
  </sheetViews>
  <sheetFormatPr defaultColWidth="14.44140625" defaultRowHeight="14.4"/>
  <cols>
    <col min="1" max="1" width="25.88671875" style="47" customWidth="1"/>
    <col min="2" max="2" width="26.109375" style="47" customWidth="1"/>
    <col min="3" max="3" width="21.5546875" style="47" customWidth="1"/>
    <col min="4" max="4" width="13.88671875" style="47" customWidth="1"/>
    <col min="5" max="5" width="34.33203125" style="47" customWidth="1"/>
    <col min="6" max="6" width="18.33203125" style="47" customWidth="1"/>
    <col min="7" max="7" width="13.33203125" style="47" customWidth="1"/>
    <col min="8" max="8" width="20.5546875" style="47" customWidth="1"/>
    <col min="9" max="9" width="31.88671875" style="47" customWidth="1"/>
    <col min="10" max="10" width="19.77734375" style="47" customWidth="1"/>
    <col min="11" max="11" width="20.44140625" style="47" customWidth="1"/>
    <col min="12" max="12" width="21.77734375" style="47" customWidth="1"/>
    <col min="13" max="13" width="15" style="47" customWidth="1"/>
    <col min="14" max="14" width="15.33203125" style="47" customWidth="1"/>
    <col min="15" max="15" width="18.21875" style="47" customWidth="1"/>
    <col min="16" max="16" width="32.44140625" style="47" customWidth="1"/>
    <col min="17" max="17" width="15" style="47" customWidth="1"/>
    <col min="18" max="18" width="99.5546875" style="47" customWidth="1"/>
    <col min="19" max="16384" width="14.44140625" style="47"/>
  </cols>
  <sheetData>
    <row r="1" spans="1:18" ht="18.600000000000001" thickTop="1" thickBot="1">
      <c r="D1" s="233" t="s">
        <v>1865</v>
      </c>
      <c r="E1" s="234"/>
      <c r="F1" s="234"/>
      <c r="G1" s="234"/>
      <c r="H1" s="234"/>
      <c r="I1" s="233" t="s">
        <v>1866</v>
      </c>
      <c r="J1" s="234"/>
      <c r="K1" s="234"/>
      <c r="L1" s="234"/>
      <c r="M1" s="48"/>
      <c r="N1" s="154"/>
    </row>
    <row r="2" spans="1:18" ht="32.4" thickTop="1" thickBot="1">
      <c r="A2" s="194" t="s">
        <v>1844</v>
      </c>
      <c r="B2" s="1" t="s">
        <v>1843</v>
      </c>
      <c r="C2" s="235" t="s">
        <v>1</v>
      </c>
      <c r="D2" s="155" t="s">
        <v>1877</v>
      </c>
      <c r="E2" s="236" t="s">
        <v>1878</v>
      </c>
      <c r="F2" s="237" t="s">
        <v>1701</v>
      </c>
      <c r="G2" s="238" t="s">
        <v>1873</v>
      </c>
      <c r="H2" s="238" t="s">
        <v>1874</v>
      </c>
      <c r="I2" s="240" t="s">
        <v>1707</v>
      </c>
      <c r="J2" s="237" t="s">
        <v>1861</v>
      </c>
      <c r="K2" s="241" t="s">
        <v>1854</v>
      </c>
      <c r="L2" s="241" t="s">
        <v>1875</v>
      </c>
      <c r="M2" s="242" t="s">
        <v>1879</v>
      </c>
      <c r="N2" s="242" t="s">
        <v>1880</v>
      </c>
      <c r="O2" s="243" t="s">
        <v>2</v>
      </c>
      <c r="P2" s="1" t="s">
        <v>3</v>
      </c>
      <c r="Q2" s="1" t="s">
        <v>4</v>
      </c>
      <c r="R2" s="1" t="s">
        <v>1845</v>
      </c>
    </row>
    <row r="3" spans="1:18" ht="72.599999999999994" hidden="1" thickTop="1">
      <c r="A3" s="195" t="str">
        <f>HYPERLINK("http://sipi.sic.gov.co/sipi/View.ashx?3857028","SD2022/0000017")</f>
        <v>SD2022/0000017</v>
      </c>
      <c r="B3" s="2" t="s">
        <v>5</v>
      </c>
      <c r="C3" s="56" t="s">
        <v>7</v>
      </c>
      <c r="D3" s="100" t="s">
        <v>8</v>
      </c>
      <c r="E3" s="101"/>
      <c r="F3" s="102"/>
      <c r="G3" s="103" t="s">
        <v>6</v>
      </c>
      <c r="H3" s="103"/>
      <c r="I3" s="121"/>
      <c r="J3" s="102"/>
      <c r="K3" s="103" t="s">
        <v>6</v>
      </c>
      <c r="L3" s="103"/>
      <c r="M3" s="142" t="s">
        <v>1848</v>
      </c>
      <c r="N3" s="142"/>
      <c r="O3" s="3" t="s">
        <v>9</v>
      </c>
      <c r="P3" s="2" t="s">
        <v>10</v>
      </c>
      <c r="Q3" s="2" t="s">
        <v>0</v>
      </c>
      <c r="R3" s="4" t="s">
        <v>11</v>
      </c>
    </row>
    <row r="4" spans="1:18" ht="47.4" hidden="1" thickTop="1">
      <c r="A4" s="196" t="str">
        <f>HYPERLINK("http://sipi.sic.gov.co/sipi/View.ashx?3857230","SD2022/0000038")</f>
        <v>SD2022/0000038</v>
      </c>
      <c r="B4" s="5" t="s">
        <v>12</v>
      </c>
      <c r="C4" s="57" t="s">
        <v>13</v>
      </c>
      <c r="D4" s="104" t="s">
        <v>8</v>
      </c>
      <c r="E4" s="67"/>
      <c r="F4" s="68"/>
      <c r="G4" s="66" t="s">
        <v>6</v>
      </c>
      <c r="H4" s="66"/>
      <c r="I4" s="122"/>
      <c r="J4" s="68"/>
      <c r="K4" s="66" t="s">
        <v>6</v>
      </c>
      <c r="L4" s="66"/>
      <c r="M4" s="143" t="s">
        <v>1848</v>
      </c>
      <c r="N4" s="143"/>
      <c r="O4" s="6" t="s">
        <v>9</v>
      </c>
      <c r="P4" s="5" t="s">
        <v>14</v>
      </c>
      <c r="Q4" s="5" t="s">
        <v>0</v>
      </c>
      <c r="R4" s="7" t="s">
        <v>15</v>
      </c>
    </row>
    <row r="5" spans="1:18" ht="36.6" hidden="1" customHeight="1">
      <c r="A5" s="197" t="str">
        <f>HYPERLINK("http://sipi.sic.gov.co/sipi/View.ashx?3857575","SD2022/0001545")</f>
        <v>SD2022/0001545</v>
      </c>
      <c r="B5" s="156" t="s">
        <v>16</v>
      </c>
      <c r="C5" s="159" t="s">
        <v>13</v>
      </c>
      <c r="D5" s="239" t="s">
        <v>17</v>
      </c>
      <c r="E5" s="172" t="s">
        <v>18</v>
      </c>
      <c r="F5" s="68" t="s">
        <v>1702</v>
      </c>
      <c r="G5" s="70" t="s">
        <v>1851</v>
      </c>
      <c r="H5" s="66" t="s">
        <v>19</v>
      </c>
      <c r="I5" s="122"/>
      <c r="J5" s="68"/>
      <c r="K5" s="66" t="s">
        <v>6</v>
      </c>
      <c r="L5" s="66"/>
      <c r="M5" s="143" t="s">
        <v>6</v>
      </c>
      <c r="N5" s="143"/>
      <c r="O5" s="244" t="s">
        <v>1882</v>
      </c>
      <c r="P5" s="5"/>
      <c r="Q5" s="5"/>
      <c r="R5" s="7"/>
    </row>
    <row r="6" spans="1:18" ht="52.2" hidden="1" customHeight="1">
      <c r="A6" s="198"/>
      <c r="B6" s="2"/>
      <c r="C6" s="159" t="s">
        <v>13</v>
      </c>
      <c r="D6" s="239" t="s">
        <v>17</v>
      </c>
      <c r="E6" s="157" t="s">
        <v>18</v>
      </c>
      <c r="F6" s="68" t="s">
        <v>1702</v>
      </c>
      <c r="G6" s="66" t="s">
        <v>1848</v>
      </c>
      <c r="H6" s="66" t="s">
        <v>9</v>
      </c>
      <c r="I6" s="123"/>
      <c r="J6" s="118"/>
      <c r="K6" s="66" t="s">
        <v>6</v>
      </c>
      <c r="L6" s="118"/>
      <c r="M6" s="143" t="s">
        <v>1848</v>
      </c>
      <c r="N6" s="143"/>
      <c r="O6" s="6" t="s">
        <v>9</v>
      </c>
      <c r="P6" s="5" t="s">
        <v>20</v>
      </c>
      <c r="Q6" s="5" t="s">
        <v>0</v>
      </c>
      <c r="R6" s="7" t="s">
        <v>11</v>
      </c>
    </row>
    <row r="7" spans="1:18" ht="147.6" hidden="1" customHeight="1">
      <c r="A7" s="196" t="str">
        <f>HYPERLINK("http://sipi.sic.gov.co/sipi/View.ashx?3860759","SD2022/0001211")</f>
        <v>SD2022/0001211</v>
      </c>
      <c r="B7" s="5" t="s">
        <v>21</v>
      </c>
      <c r="C7" s="57" t="s">
        <v>7</v>
      </c>
      <c r="D7" s="104" t="s">
        <v>8</v>
      </c>
      <c r="E7" s="67"/>
      <c r="F7" s="68"/>
      <c r="G7" s="66" t="s">
        <v>6</v>
      </c>
      <c r="H7" s="66"/>
      <c r="I7" s="122"/>
      <c r="J7" s="68"/>
      <c r="K7" s="66" t="s">
        <v>6</v>
      </c>
      <c r="L7" s="66"/>
      <c r="M7" s="143" t="s">
        <v>1848</v>
      </c>
      <c r="N7" s="143"/>
      <c r="O7" s="6" t="s">
        <v>9</v>
      </c>
      <c r="P7" s="5" t="s">
        <v>22</v>
      </c>
      <c r="Q7" s="5" t="s">
        <v>23</v>
      </c>
      <c r="R7" s="7" t="s">
        <v>24</v>
      </c>
    </row>
    <row r="8" spans="1:18" ht="47.4" hidden="1" thickTop="1">
      <c r="A8" s="196" t="str">
        <f>HYPERLINK("http://sipi.sic.gov.co/sipi/View.ashx?3862514","SD2022/0001616")</f>
        <v>SD2022/0001616</v>
      </c>
      <c r="B8" s="5" t="s">
        <v>25</v>
      </c>
      <c r="C8" s="57" t="s">
        <v>7</v>
      </c>
      <c r="D8" s="104" t="s">
        <v>8</v>
      </c>
      <c r="E8" s="67"/>
      <c r="F8" s="68"/>
      <c r="G8" s="66" t="s">
        <v>6</v>
      </c>
      <c r="H8" s="66"/>
      <c r="I8" s="122"/>
      <c r="J8" s="68"/>
      <c r="K8" s="66" t="s">
        <v>6</v>
      </c>
      <c r="L8" s="66"/>
      <c r="M8" s="143" t="s">
        <v>1848</v>
      </c>
      <c r="N8" s="143"/>
      <c r="O8" s="6" t="s">
        <v>9</v>
      </c>
      <c r="P8" s="5" t="s">
        <v>26</v>
      </c>
      <c r="Q8" s="5" t="s">
        <v>0</v>
      </c>
      <c r="R8" s="7" t="s">
        <v>27</v>
      </c>
    </row>
    <row r="9" spans="1:18" ht="130.19999999999999" hidden="1" thickTop="1">
      <c r="A9" s="196" t="str">
        <f>HYPERLINK("http://sipi.sic.gov.co/sipi/View.ashx?3865719","SD2022/0002102")</f>
        <v>SD2022/0002102</v>
      </c>
      <c r="B9" s="5" t="s">
        <v>28</v>
      </c>
      <c r="C9" s="57" t="s">
        <v>13</v>
      </c>
      <c r="D9" s="104" t="s">
        <v>17</v>
      </c>
      <c r="E9" s="69" t="s">
        <v>29</v>
      </c>
      <c r="F9" s="68" t="s">
        <v>1703</v>
      </c>
      <c r="G9" s="66" t="s">
        <v>1848</v>
      </c>
      <c r="H9" s="66" t="s">
        <v>9</v>
      </c>
      <c r="I9" s="124"/>
      <c r="J9" s="68"/>
      <c r="K9" s="66" t="s">
        <v>6</v>
      </c>
      <c r="L9" s="66"/>
      <c r="M9" s="143" t="s">
        <v>1848</v>
      </c>
      <c r="N9" s="143"/>
      <c r="O9" s="6" t="s">
        <v>9</v>
      </c>
      <c r="P9" s="5" t="s">
        <v>30</v>
      </c>
      <c r="Q9" s="5" t="s">
        <v>31</v>
      </c>
      <c r="R9" s="7" t="s">
        <v>32</v>
      </c>
    </row>
    <row r="10" spans="1:18" ht="132" hidden="1" customHeight="1">
      <c r="A10" s="196" t="str">
        <f>HYPERLINK("http://sipi.sic.gov.co/sipi/View.ashx?3866126","SD2022/0002185")</f>
        <v>SD2022/0002185</v>
      </c>
      <c r="B10" s="5" t="s">
        <v>33</v>
      </c>
      <c r="C10" s="57" t="s">
        <v>13</v>
      </c>
      <c r="D10" s="104" t="s">
        <v>8</v>
      </c>
      <c r="E10" s="67"/>
      <c r="F10" s="68"/>
      <c r="G10" s="66" t="s">
        <v>6</v>
      </c>
      <c r="H10" s="66"/>
      <c r="I10" s="122"/>
      <c r="J10" s="68"/>
      <c r="K10" s="66" t="s">
        <v>6</v>
      </c>
      <c r="L10" s="66"/>
      <c r="M10" s="143" t="s">
        <v>1848</v>
      </c>
      <c r="N10" s="143"/>
      <c r="O10" s="6" t="s">
        <v>9</v>
      </c>
      <c r="P10" s="5" t="s">
        <v>34</v>
      </c>
      <c r="Q10" s="5" t="s">
        <v>0</v>
      </c>
      <c r="R10" s="7" t="s">
        <v>35</v>
      </c>
    </row>
    <row r="11" spans="1:18" ht="115.8" thickTop="1">
      <c r="A11" s="196" t="str">
        <f>HYPERLINK("http://sipi.sic.gov.co/sipi/View.ashx?3868478","SD2022/0004110")</f>
        <v>SD2022/0004110</v>
      </c>
      <c r="B11" s="5" t="s">
        <v>36</v>
      </c>
      <c r="C11" s="57" t="s">
        <v>13</v>
      </c>
      <c r="D11" s="104" t="s">
        <v>17</v>
      </c>
      <c r="E11" s="69" t="s">
        <v>37</v>
      </c>
      <c r="F11" s="68" t="s">
        <v>1706</v>
      </c>
      <c r="G11" s="66" t="s">
        <v>1848</v>
      </c>
      <c r="H11" s="66" t="s">
        <v>9</v>
      </c>
      <c r="I11" s="124" t="s">
        <v>38</v>
      </c>
      <c r="J11" s="68" t="s">
        <v>1821</v>
      </c>
      <c r="K11" s="66" t="s">
        <v>1848</v>
      </c>
      <c r="L11" s="66" t="s">
        <v>9</v>
      </c>
      <c r="M11" s="143" t="s">
        <v>1848</v>
      </c>
      <c r="N11" s="143"/>
      <c r="O11" s="6" t="s">
        <v>9</v>
      </c>
      <c r="P11" s="5" t="s">
        <v>39</v>
      </c>
      <c r="Q11" s="5" t="s">
        <v>0</v>
      </c>
      <c r="R11" s="7" t="s">
        <v>40</v>
      </c>
    </row>
    <row r="12" spans="1:18" ht="62.4" hidden="1">
      <c r="A12" s="196" t="str">
        <f>HYPERLINK("http://sipi.sic.gov.co/sipi/View.ashx?3870053","SD2022/0003185")</f>
        <v>SD2022/0003185</v>
      </c>
      <c r="B12" s="5" t="s">
        <v>41</v>
      </c>
      <c r="C12" s="57" t="s">
        <v>7</v>
      </c>
      <c r="D12" s="104" t="s">
        <v>8</v>
      </c>
      <c r="E12" s="67"/>
      <c r="F12" s="68"/>
      <c r="G12" s="66" t="s">
        <v>6</v>
      </c>
      <c r="H12" s="66"/>
      <c r="I12" s="122"/>
      <c r="J12" s="68"/>
      <c r="K12" s="66" t="s">
        <v>6</v>
      </c>
      <c r="L12" s="66"/>
      <c r="M12" s="143" t="s">
        <v>1848</v>
      </c>
      <c r="N12" s="143"/>
      <c r="O12" s="6" t="s">
        <v>9</v>
      </c>
      <c r="P12" s="5" t="s">
        <v>42</v>
      </c>
      <c r="Q12" s="5" t="s">
        <v>0</v>
      </c>
      <c r="R12" s="7" t="s">
        <v>43</v>
      </c>
    </row>
    <row r="13" spans="1:18" ht="76.5" hidden="1" customHeight="1">
      <c r="A13" s="196" t="str">
        <f>HYPERLINK("http://sipi.sic.gov.co/sipi/View.ashx?3873185","SD2022/0005052")</f>
        <v>SD2022/0005052</v>
      </c>
      <c r="B13" s="5" t="s">
        <v>44</v>
      </c>
      <c r="C13" s="57" t="s">
        <v>13</v>
      </c>
      <c r="D13" s="105" t="s">
        <v>8</v>
      </c>
      <c r="E13" s="69"/>
      <c r="F13" s="68"/>
      <c r="G13" s="66"/>
      <c r="H13" s="66"/>
      <c r="I13" s="124"/>
      <c r="J13" s="68"/>
      <c r="K13" s="66" t="s">
        <v>6</v>
      </c>
      <c r="L13" s="66"/>
      <c r="M13" s="143" t="s">
        <v>1848</v>
      </c>
      <c r="N13" s="143"/>
      <c r="O13" s="6" t="s">
        <v>9</v>
      </c>
      <c r="P13" s="5" t="s">
        <v>45</v>
      </c>
      <c r="Q13" s="5" t="s">
        <v>23</v>
      </c>
      <c r="R13" s="7"/>
    </row>
    <row r="14" spans="1:18" ht="118.5" hidden="1" customHeight="1">
      <c r="A14" s="196" t="str">
        <f>HYPERLINK("http://sipi.sic.gov.co/sipi/View.ashx?3875611","SD2022/0004403")</f>
        <v>SD2022/0004403</v>
      </c>
      <c r="B14" s="5" t="s">
        <v>46</v>
      </c>
      <c r="C14" s="57" t="s">
        <v>13</v>
      </c>
      <c r="D14" s="104" t="s">
        <v>8</v>
      </c>
      <c r="E14" s="67"/>
      <c r="F14" s="68"/>
      <c r="G14" s="66" t="s">
        <v>6</v>
      </c>
      <c r="H14" s="66"/>
      <c r="I14" s="122"/>
      <c r="J14" s="68"/>
      <c r="K14" s="66" t="s">
        <v>6</v>
      </c>
      <c r="L14" s="66"/>
      <c r="M14" s="143" t="s">
        <v>1848</v>
      </c>
      <c r="N14" s="143"/>
      <c r="O14" s="6" t="s">
        <v>9</v>
      </c>
      <c r="P14" s="5" t="s">
        <v>47</v>
      </c>
      <c r="Q14" s="5" t="s">
        <v>23</v>
      </c>
      <c r="R14" s="7" t="s">
        <v>48</v>
      </c>
    </row>
    <row r="15" spans="1:18" ht="45.6" hidden="1" customHeight="1">
      <c r="A15" s="197" t="str">
        <f>HYPERLINK("http://sipi.sic.gov.co/sipi/View.ashx?3876757","SD2022/0004420")</f>
        <v>SD2022/0004420</v>
      </c>
      <c r="B15" s="156" t="s">
        <v>49</v>
      </c>
      <c r="C15" s="159" t="s">
        <v>7</v>
      </c>
      <c r="D15" s="160" t="s">
        <v>17</v>
      </c>
      <c r="E15" s="158" t="s">
        <v>50</v>
      </c>
      <c r="F15" s="68" t="s">
        <v>1822</v>
      </c>
      <c r="G15" s="66" t="s">
        <v>1855</v>
      </c>
      <c r="H15" s="66" t="s">
        <v>9</v>
      </c>
      <c r="I15" s="122"/>
      <c r="J15" s="68"/>
      <c r="K15" s="66"/>
      <c r="L15" s="66"/>
      <c r="M15" s="143" t="s">
        <v>6</v>
      </c>
      <c r="N15" s="143"/>
      <c r="O15" s="6"/>
      <c r="P15" s="5"/>
      <c r="Q15" s="5"/>
      <c r="R15" s="7"/>
    </row>
    <row r="16" spans="1:18" ht="29.4" hidden="1" customHeight="1">
      <c r="A16" s="198"/>
      <c r="B16" s="2"/>
      <c r="C16" s="159" t="s">
        <v>7</v>
      </c>
      <c r="D16" s="160" t="s">
        <v>17</v>
      </c>
      <c r="E16" s="158" t="s">
        <v>50</v>
      </c>
      <c r="F16" s="68" t="s">
        <v>1822</v>
      </c>
      <c r="G16" s="66" t="s">
        <v>1848</v>
      </c>
      <c r="H16" s="66" t="s">
        <v>19</v>
      </c>
      <c r="I16" s="123"/>
      <c r="J16" s="118"/>
      <c r="K16" s="118"/>
      <c r="L16" s="118"/>
      <c r="M16" s="143" t="s">
        <v>1855</v>
      </c>
      <c r="N16" s="143"/>
      <c r="O16" s="6" t="s">
        <v>19</v>
      </c>
      <c r="P16" s="5" t="s">
        <v>51</v>
      </c>
      <c r="Q16" s="5" t="s">
        <v>0</v>
      </c>
      <c r="R16" s="7" t="s">
        <v>52</v>
      </c>
    </row>
    <row r="17" spans="1:18" ht="15.75" hidden="1" customHeight="1">
      <c r="A17" s="196" t="str">
        <f>HYPERLINK("http://sipi.sic.gov.co/sipi/View.ashx?3881215","SD2022/0005878")</f>
        <v>SD2022/0005878</v>
      </c>
      <c r="B17" s="5" t="s">
        <v>53</v>
      </c>
      <c r="C17" s="57" t="s">
        <v>13</v>
      </c>
      <c r="D17" s="104" t="s">
        <v>8</v>
      </c>
      <c r="E17" s="67"/>
      <c r="F17" s="68"/>
      <c r="G17" s="66" t="s">
        <v>6</v>
      </c>
      <c r="H17" s="66"/>
      <c r="I17" s="122"/>
      <c r="J17" s="68"/>
      <c r="K17" s="66" t="s">
        <v>6</v>
      </c>
      <c r="L17" s="66"/>
      <c r="M17" s="143" t="s">
        <v>1848</v>
      </c>
      <c r="N17" s="143"/>
      <c r="O17" s="6" t="s">
        <v>19</v>
      </c>
      <c r="P17" s="5" t="s">
        <v>54</v>
      </c>
      <c r="Q17" s="5" t="s">
        <v>23</v>
      </c>
      <c r="R17" s="7" t="s">
        <v>55</v>
      </c>
    </row>
    <row r="18" spans="1:18" ht="72" hidden="1" customHeight="1">
      <c r="A18" s="196" t="str">
        <f>HYPERLINK("http://sipi.sic.gov.co/sipi/View.ashx?3883904","SD2022/0006024")</f>
        <v>SD2022/0006024</v>
      </c>
      <c r="B18" s="8" t="s">
        <v>6</v>
      </c>
      <c r="C18" s="57" t="s">
        <v>56</v>
      </c>
      <c r="D18" s="104" t="s">
        <v>8</v>
      </c>
      <c r="E18" s="67"/>
      <c r="F18" s="68"/>
      <c r="G18" s="66" t="s">
        <v>6</v>
      </c>
      <c r="H18" s="66"/>
      <c r="I18" s="122"/>
      <c r="J18" s="68"/>
      <c r="K18" s="66" t="s">
        <v>6</v>
      </c>
      <c r="L18" s="66"/>
      <c r="M18" s="143" t="s">
        <v>1849</v>
      </c>
      <c r="N18" s="143"/>
      <c r="O18" s="6" t="s">
        <v>9</v>
      </c>
      <c r="P18" s="5" t="s">
        <v>57</v>
      </c>
      <c r="Q18" s="5" t="s">
        <v>58</v>
      </c>
      <c r="R18" s="7" t="s">
        <v>59</v>
      </c>
    </row>
    <row r="19" spans="1:18" ht="15.75" hidden="1" customHeight="1">
      <c r="A19" s="196" t="str">
        <f>HYPERLINK("http://sipi.sic.gov.co/sipi/View.ashx?3886779","SD2022/0006541")</f>
        <v>SD2022/0006541</v>
      </c>
      <c r="B19" s="8" t="s">
        <v>60</v>
      </c>
      <c r="C19" s="57" t="s">
        <v>7</v>
      </c>
      <c r="D19" s="104" t="s">
        <v>17</v>
      </c>
      <c r="E19" s="69" t="s">
        <v>61</v>
      </c>
      <c r="F19" s="68" t="s">
        <v>1704</v>
      </c>
      <c r="G19" s="66" t="s">
        <v>1848</v>
      </c>
      <c r="H19" s="66" t="s">
        <v>9</v>
      </c>
      <c r="I19" s="124"/>
      <c r="J19" s="68"/>
      <c r="K19" s="66" t="s">
        <v>6</v>
      </c>
      <c r="L19" s="66"/>
      <c r="M19" s="143" t="s">
        <v>1848</v>
      </c>
      <c r="N19" s="143"/>
      <c r="O19" s="6" t="s">
        <v>19</v>
      </c>
      <c r="P19" s="5" t="s">
        <v>62</v>
      </c>
      <c r="Q19" s="5" t="s">
        <v>63</v>
      </c>
      <c r="R19" s="7" t="s">
        <v>64</v>
      </c>
    </row>
    <row r="20" spans="1:18" ht="15.75" hidden="1" customHeight="1">
      <c r="A20" s="196" t="str">
        <f>HYPERLINK("http://sipi.sic.gov.co/sipi/View.ashx?3887664","SD2022/0006766")</f>
        <v>SD2022/0006766</v>
      </c>
      <c r="B20" s="8" t="s">
        <v>65</v>
      </c>
      <c r="C20" s="57" t="s">
        <v>7</v>
      </c>
      <c r="D20" s="104" t="s">
        <v>8</v>
      </c>
      <c r="E20" s="67"/>
      <c r="F20" s="68"/>
      <c r="G20" s="66" t="s">
        <v>6</v>
      </c>
      <c r="H20" s="66"/>
      <c r="I20" s="122"/>
      <c r="J20" s="68"/>
      <c r="K20" s="66" t="s">
        <v>6</v>
      </c>
      <c r="L20" s="66"/>
      <c r="M20" s="143" t="s">
        <v>1848</v>
      </c>
      <c r="N20" s="143"/>
      <c r="O20" s="6" t="s">
        <v>19</v>
      </c>
      <c r="P20" s="5" t="s">
        <v>66</v>
      </c>
      <c r="Q20" s="5" t="s">
        <v>0</v>
      </c>
      <c r="R20" s="7" t="s">
        <v>67</v>
      </c>
    </row>
    <row r="21" spans="1:18" ht="141.75" hidden="1" customHeight="1">
      <c r="A21" s="196" t="str">
        <f>HYPERLINK("http://sipi.sic.gov.co/sipi/View.ashx?3887748","SD2022/0006746")</f>
        <v>SD2022/0006746</v>
      </c>
      <c r="B21" s="8" t="s">
        <v>68</v>
      </c>
      <c r="C21" s="57" t="s">
        <v>13</v>
      </c>
      <c r="D21" s="104" t="s">
        <v>8</v>
      </c>
      <c r="E21" s="67"/>
      <c r="F21" s="68"/>
      <c r="G21" s="66" t="s">
        <v>6</v>
      </c>
      <c r="H21" s="66"/>
      <c r="I21" s="122"/>
      <c r="J21" s="68"/>
      <c r="K21" s="66" t="s">
        <v>6</v>
      </c>
      <c r="L21" s="66"/>
      <c r="M21" s="143" t="s">
        <v>1848</v>
      </c>
      <c r="N21" s="143"/>
      <c r="O21" s="6" t="s">
        <v>9</v>
      </c>
      <c r="P21" s="5" t="s">
        <v>69</v>
      </c>
      <c r="Q21" s="5" t="s">
        <v>0</v>
      </c>
      <c r="R21" s="7" t="s">
        <v>70</v>
      </c>
    </row>
    <row r="22" spans="1:18" ht="15.75" hidden="1" customHeight="1">
      <c r="A22" s="196" t="str">
        <f>HYPERLINK("http://sipi.sic.gov.co/sipi/View.ashx?3890231","SD2022/0008298")</f>
        <v>SD2022/0008298</v>
      </c>
      <c r="B22" s="8" t="s">
        <v>71</v>
      </c>
      <c r="C22" s="57" t="s">
        <v>7</v>
      </c>
      <c r="D22" s="104" t="s">
        <v>8</v>
      </c>
      <c r="E22" s="67"/>
      <c r="F22" s="68"/>
      <c r="G22" s="66" t="s">
        <v>6</v>
      </c>
      <c r="H22" s="66"/>
      <c r="I22" s="122"/>
      <c r="J22" s="68"/>
      <c r="K22" s="66" t="s">
        <v>6</v>
      </c>
      <c r="L22" s="66"/>
      <c r="M22" s="143" t="s">
        <v>1848</v>
      </c>
      <c r="N22" s="143"/>
      <c r="O22" s="6" t="s">
        <v>9</v>
      </c>
      <c r="P22" s="5" t="s">
        <v>72</v>
      </c>
      <c r="Q22" s="5" t="s">
        <v>23</v>
      </c>
      <c r="R22" s="7" t="s">
        <v>73</v>
      </c>
    </row>
    <row r="23" spans="1:18" ht="15.75" hidden="1" customHeight="1">
      <c r="A23" s="196" t="str">
        <f>HYPERLINK("http://sipi.sic.gov.co/sipi/View.ashx?3892234","SD2022/0007986")</f>
        <v>SD2022/0007986</v>
      </c>
      <c r="B23" s="8" t="s">
        <v>74</v>
      </c>
      <c r="C23" s="57" t="s">
        <v>13</v>
      </c>
      <c r="D23" s="104" t="s">
        <v>8</v>
      </c>
      <c r="E23" s="67"/>
      <c r="F23" s="68"/>
      <c r="G23" s="66" t="s">
        <v>6</v>
      </c>
      <c r="H23" s="66"/>
      <c r="I23" s="122"/>
      <c r="J23" s="68"/>
      <c r="K23" s="66" t="s">
        <v>6</v>
      </c>
      <c r="L23" s="66"/>
      <c r="M23" s="143" t="s">
        <v>1848</v>
      </c>
      <c r="N23" s="143"/>
      <c r="O23" s="6" t="s">
        <v>9</v>
      </c>
      <c r="P23" s="5" t="s">
        <v>75</v>
      </c>
      <c r="Q23" s="5" t="s">
        <v>76</v>
      </c>
      <c r="R23" s="7" t="s">
        <v>77</v>
      </c>
    </row>
    <row r="24" spans="1:18" ht="15.75" hidden="1" customHeight="1">
      <c r="A24" s="196" t="str">
        <f>HYPERLINK("http://sipi.sic.gov.co/sipi/View.ashx?3892435","SD2022/0007873")</f>
        <v>SD2022/0007873</v>
      </c>
      <c r="B24" s="8" t="s">
        <v>78</v>
      </c>
      <c r="C24" s="57" t="s">
        <v>7</v>
      </c>
      <c r="D24" s="104" t="s">
        <v>8</v>
      </c>
      <c r="E24" s="67"/>
      <c r="F24" s="68"/>
      <c r="G24" s="66" t="s">
        <v>6</v>
      </c>
      <c r="H24" s="66"/>
      <c r="I24" s="122"/>
      <c r="J24" s="68"/>
      <c r="K24" s="66" t="s">
        <v>6</v>
      </c>
      <c r="L24" s="66"/>
      <c r="M24" s="143" t="s">
        <v>1848</v>
      </c>
      <c r="N24" s="143"/>
      <c r="O24" s="6" t="s">
        <v>9</v>
      </c>
      <c r="P24" s="5" t="s">
        <v>79</v>
      </c>
      <c r="Q24" s="5" t="s">
        <v>23</v>
      </c>
      <c r="R24" s="7" t="s">
        <v>80</v>
      </c>
    </row>
    <row r="25" spans="1:18" ht="15.75" hidden="1" customHeight="1">
      <c r="A25" s="196" t="str">
        <f>HYPERLINK("http://sipi.sic.gov.co/sipi/View.ashx?3892528","SD2022/0007878")</f>
        <v>SD2022/0007878</v>
      </c>
      <c r="B25" s="8" t="s">
        <v>81</v>
      </c>
      <c r="C25" s="57" t="s">
        <v>7</v>
      </c>
      <c r="D25" s="104" t="s">
        <v>8</v>
      </c>
      <c r="E25" s="67"/>
      <c r="F25" s="68"/>
      <c r="G25" s="66" t="s">
        <v>6</v>
      </c>
      <c r="H25" s="66"/>
      <c r="I25" s="122"/>
      <c r="J25" s="68"/>
      <c r="K25" s="66" t="s">
        <v>6</v>
      </c>
      <c r="L25" s="66"/>
      <c r="M25" s="143" t="s">
        <v>1848</v>
      </c>
      <c r="N25" s="143"/>
      <c r="O25" s="6" t="s">
        <v>9</v>
      </c>
      <c r="P25" s="5" t="s">
        <v>79</v>
      </c>
      <c r="Q25" s="5" t="s">
        <v>23</v>
      </c>
      <c r="R25" s="7" t="s">
        <v>80</v>
      </c>
    </row>
    <row r="26" spans="1:18" ht="15.75" hidden="1" customHeight="1">
      <c r="A26" s="196" t="str">
        <f>HYPERLINK("http://sipi.sic.gov.co/sipi/View.ashx?3893863","SD2022/0008036")</f>
        <v>SD2022/0008036</v>
      </c>
      <c r="B26" s="8" t="s">
        <v>82</v>
      </c>
      <c r="C26" s="57" t="s">
        <v>13</v>
      </c>
      <c r="D26" s="104" t="s">
        <v>8</v>
      </c>
      <c r="E26" s="67"/>
      <c r="F26" s="68"/>
      <c r="G26" s="66" t="s">
        <v>6</v>
      </c>
      <c r="H26" s="66"/>
      <c r="I26" s="122"/>
      <c r="J26" s="68"/>
      <c r="K26" s="66" t="s">
        <v>6</v>
      </c>
      <c r="L26" s="66"/>
      <c r="M26" s="143" t="s">
        <v>1848</v>
      </c>
      <c r="N26" s="143"/>
      <c r="O26" s="6" t="s">
        <v>9</v>
      </c>
      <c r="P26" s="5" t="s">
        <v>83</v>
      </c>
      <c r="Q26" s="5" t="s">
        <v>84</v>
      </c>
      <c r="R26" s="7" t="s">
        <v>85</v>
      </c>
    </row>
    <row r="27" spans="1:18" ht="15.75" hidden="1" customHeight="1">
      <c r="A27" s="196" t="str">
        <f>HYPERLINK("http://sipi.sic.gov.co/sipi/View.ashx?3893967","SD2022/0008040")</f>
        <v>SD2022/0008040</v>
      </c>
      <c r="B27" s="8" t="s">
        <v>86</v>
      </c>
      <c r="C27" s="57" t="s">
        <v>7</v>
      </c>
      <c r="D27" s="104" t="s">
        <v>8</v>
      </c>
      <c r="E27" s="67"/>
      <c r="F27" s="68"/>
      <c r="G27" s="66" t="s">
        <v>6</v>
      </c>
      <c r="H27" s="66"/>
      <c r="I27" s="122"/>
      <c r="J27" s="68"/>
      <c r="K27" s="66" t="s">
        <v>6</v>
      </c>
      <c r="L27" s="66"/>
      <c r="M27" s="143" t="s">
        <v>1848</v>
      </c>
      <c r="N27" s="143"/>
      <c r="O27" s="6" t="s">
        <v>19</v>
      </c>
      <c r="P27" s="5" t="s">
        <v>87</v>
      </c>
      <c r="Q27" s="5" t="s">
        <v>0</v>
      </c>
      <c r="R27" s="7" t="s">
        <v>88</v>
      </c>
    </row>
    <row r="28" spans="1:18" ht="58.8" hidden="1" customHeight="1">
      <c r="A28" s="197" t="str">
        <f>HYPERLINK("http://sipi.sic.gov.co/sipi/View.ashx?3897735","SD2022/0009197")</f>
        <v>SD2022/0009197</v>
      </c>
      <c r="B28" s="156" t="s">
        <v>89</v>
      </c>
      <c r="C28" s="159" t="s">
        <v>13</v>
      </c>
      <c r="D28" s="160" t="s">
        <v>17</v>
      </c>
      <c r="E28" s="157" t="s">
        <v>90</v>
      </c>
      <c r="F28" s="161" t="s">
        <v>1705</v>
      </c>
      <c r="G28" s="66" t="s">
        <v>1848</v>
      </c>
      <c r="H28" s="66" t="s">
        <v>9</v>
      </c>
      <c r="I28" s="122"/>
      <c r="J28" s="68"/>
      <c r="K28" s="66"/>
      <c r="L28" s="66"/>
      <c r="M28" s="143" t="s">
        <v>6</v>
      </c>
      <c r="N28" s="143"/>
      <c r="O28" s="6"/>
      <c r="P28" s="5"/>
      <c r="Q28" s="5"/>
      <c r="R28" s="7"/>
    </row>
    <row r="29" spans="1:18" ht="70.8" hidden="1" customHeight="1">
      <c r="A29" s="198"/>
      <c r="B29" s="2"/>
      <c r="C29" s="159" t="s">
        <v>13</v>
      </c>
      <c r="D29" s="160" t="s">
        <v>17</v>
      </c>
      <c r="E29" s="157" t="s">
        <v>90</v>
      </c>
      <c r="F29" s="161" t="s">
        <v>1705</v>
      </c>
      <c r="G29" s="66" t="s">
        <v>1849</v>
      </c>
      <c r="H29" s="66" t="s">
        <v>19</v>
      </c>
      <c r="I29" s="124"/>
      <c r="J29" s="68"/>
      <c r="M29" s="143" t="s">
        <v>1848</v>
      </c>
      <c r="N29" s="143"/>
      <c r="O29" s="6" t="s">
        <v>9</v>
      </c>
      <c r="P29" s="5" t="s">
        <v>91</v>
      </c>
      <c r="Q29" s="5" t="s">
        <v>0</v>
      </c>
      <c r="R29" s="7" t="s">
        <v>92</v>
      </c>
    </row>
    <row r="30" spans="1:18" ht="15.75" hidden="1" customHeight="1">
      <c r="A30" s="196" t="str">
        <f>HYPERLINK("http://sipi.sic.gov.co/sipi/View.ashx?3899102","SD2022/0009152")</f>
        <v>SD2022/0009152</v>
      </c>
      <c r="B30" s="8" t="s">
        <v>93</v>
      </c>
      <c r="C30" s="57" t="s">
        <v>13</v>
      </c>
      <c r="D30" s="104" t="s">
        <v>17</v>
      </c>
      <c r="E30" s="69" t="s">
        <v>94</v>
      </c>
      <c r="F30" s="68" t="s">
        <v>1709</v>
      </c>
      <c r="G30" s="66" t="s">
        <v>1848</v>
      </c>
      <c r="H30" s="66" t="s">
        <v>9</v>
      </c>
      <c r="I30" s="122"/>
      <c r="J30" s="68"/>
      <c r="K30" s="66" t="s">
        <v>6</v>
      </c>
      <c r="L30" s="66"/>
      <c r="M30" s="143" t="s">
        <v>1848</v>
      </c>
      <c r="N30" s="143"/>
      <c r="O30" s="6" t="s">
        <v>9</v>
      </c>
      <c r="P30" s="5" t="s">
        <v>95</v>
      </c>
      <c r="Q30" s="5" t="s">
        <v>0</v>
      </c>
      <c r="R30" s="7" t="s">
        <v>96</v>
      </c>
    </row>
    <row r="31" spans="1:18" ht="15.75" hidden="1" customHeight="1">
      <c r="A31" s="196" t="str">
        <f>HYPERLINK("http://sipi.sic.gov.co/sipi/View.ashx?3900051","SD2022/0009561")</f>
        <v>SD2022/0009561</v>
      </c>
      <c r="B31" s="8" t="s">
        <v>97</v>
      </c>
      <c r="C31" s="57" t="s">
        <v>7</v>
      </c>
      <c r="D31" s="104" t="s">
        <v>8</v>
      </c>
      <c r="E31" s="67"/>
      <c r="F31" s="68"/>
      <c r="G31" s="66" t="s">
        <v>6</v>
      </c>
      <c r="H31" s="66"/>
      <c r="I31" s="122"/>
      <c r="J31" s="68"/>
      <c r="K31" s="66" t="s">
        <v>6</v>
      </c>
      <c r="L31" s="66"/>
      <c r="M31" s="143" t="s">
        <v>1848</v>
      </c>
      <c r="N31" s="143"/>
      <c r="O31" s="6" t="s">
        <v>9</v>
      </c>
      <c r="P31" s="5" t="s">
        <v>98</v>
      </c>
      <c r="Q31" s="5" t="s">
        <v>99</v>
      </c>
      <c r="R31" s="7" t="s">
        <v>100</v>
      </c>
    </row>
    <row r="32" spans="1:18" ht="63" hidden="1" customHeight="1">
      <c r="A32" s="196" t="str">
        <f>HYPERLINK("http://sipi.sic.gov.co/sipi/View.ashx?3900383","SD2022/0009501")</f>
        <v>SD2022/0009501</v>
      </c>
      <c r="B32" s="8" t="s">
        <v>101</v>
      </c>
      <c r="C32" s="57" t="s">
        <v>13</v>
      </c>
      <c r="D32" s="104" t="s">
        <v>8</v>
      </c>
      <c r="E32" s="67"/>
      <c r="F32" s="68"/>
      <c r="G32" s="66" t="s">
        <v>6</v>
      </c>
      <c r="H32" s="66"/>
      <c r="I32" s="122"/>
      <c r="J32" s="68"/>
      <c r="K32" s="66" t="s">
        <v>6</v>
      </c>
      <c r="L32" s="66"/>
      <c r="M32" s="143" t="s">
        <v>1848</v>
      </c>
      <c r="N32" s="143"/>
      <c r="O32" s="6" t="s">
        <v>9</v>
      </c>
      <c r="P32" s="5" t="s">
        <v>102</v>
      </c>
      <c r="Q32" s="5" t="s">
        <v>0</v>
      </c>
      <c r="R32" s="7" t="s">
        <v>103</v>
      </c>
    </row>
    <row r="33" spans="1:18" ht="15.75" hidden="1" customHeight="1">
      <c r="A33" s="196" t="str">
        <f>HYPERLINK("http://sipi.sic.gov.co/sipi/View.ashx?3901053","SD2022/0009615")</f>
        <v>SD2022/0009615</v>
      </c>
      <c r="B33" s="8" t="s">
        <v>104</v>
      </c>
      <c r="C33" s="57" t="s">
        <v>7</v>
      </c>
      <c r="D33" s="104" t="s">
        <v>8</v>
      </c>
      <c r="E33" s="67"/>
      <c r="F33" s="68"/>
      <c r="G33" s="66" t="s">
        <v>6</v>
      </c>
      <c r="H33" s="66"/>
      <c r="I33" s="122"/>
      <c r="J33" s="68"/>
      <c r="K33" s="66" t="s">
        <v>6</v>
      </c>
      <c r="L33" s="66"/>
      <c r="M33" s="143" t="s">
        <v>1848</v>
      </c>
      <c r="N33" s="143"/>
      <c r="O33" s="6" t="s">
        <v>9</v>
      </c>
      <c r="P33" s="5" t="s">
        <v>105</v>
      </c>
      <c r="Q33" s="5" t="s">
        <v>106</v>
      </c>
      <c r="R33" s="7" t="s">
        <v>107</v>
      </c>
    </row>
    <row r="34" spans="1:18" ht="106.5" hidden="1" customHeight="1">
      <c r="A34" s="196" t="str">
        <f>HYPERLINK("http://sipi.sic.gov.co/sipi/View.ashx?3902815","SD2022/0009967")</f>
        <v>SD2022/0009967</v>
      </c>
      <c r="B34" s="8" t="s">
        <v>108</v>
      </c>
      <c r="C34" s="57" t="s">
        <v>13</v>
      </c>
      <c r="D34" s="104" t="s">
        <v>8</v>
      </c>
      <c r="E34" s="67"/>
      <c r="F34" s="68"/>
      <c r="G34" s="66" t="s">
        <v>6</v>
      </c>
      <c r="H34" s="66"/>
      <c r="I34" s="122"/>
      <c r="J34" s="68"/>
      <c r="K34" s="66" t="s">
        <v>6</v>
      </c>
      <c r="L34" s="66"/>
      <c r="M34" s="143" t="s">
        <v>1848</v>
      </c>
      <c r="N34" s="143"/>
      <c r="O34" s="6" t="s">
        <v>9</v>
      </c>
      <c r="P34" s="5" t="s">
        <v>109</v>
      </c>
      <c r="Q34" s="5" t="s">
        <v>23</v>
      </c>
      <c r="R34" s="7" t="s">
        <v>110</v>
      </c>
    </row>
    <row r="35" spans="1:18" ht="132" hidden="1" customHeight="1">
      <c r="A35" s="196" t="str">
        <f>HYPERLINK("http://sipi.sic.gov.co/sipi/View.ashx?3902992","SD2022/0010008")</f>
        <v>SD2022/0010008</v>
      </c>
      <c r="B35" s="8" t="s">
        <v>111</v>
      </c>
      <c r="C35" s="57" t="s">
        <v>13</v>
      </c>
      <c r="D35" s="104" t="s">
        <v>8</v>
      </c>
      <c r="E35" s="67"/>
      <c r="F35" s="68"/>
      <c r="G35" s="66" t="s">
        <v>6</v>
      </c>
      <c r="H35" s="66"/>
      <c r="I35" s="122"/>
      <c r="J35" s="68"/>
      <c r="K35" s="66" t="s">
        <v>6</v>
      </c>
      <c r="L35" s="66"/>
      <c r="M35" s="143" t="s">
        <v>1848</v>
      </c>
      <c r="N35" s="143"/>
      <c r="O35" s="6" t="s">
        <v>9</v>
      </c>
      <c r="P35" s="5" t="s">
        <v>112</v>
      </c>
      <c r="Q35" s="5" t="s">
        <v>0</v>
      </c>
      <c r="R35" s="7" t="s">
        <v>113</v>
      </c>
    </row>
    <row r="36" spans="1:18" ht="15.75" hidden="1" customHeight="1">
      <c r="A36" s="196" t="str">
        <f>HYPERLINK("http://sipi.sic.gov.co/sipi/View.ashx?3903968","SD2022/0010201")</f>
        <v>SD2022/0010201</v>
      </c>
      <c r="B36" s="8" t="s">
        <v>114</v>
      </c>
      <c r="C36" s="57" t="s">
        <v>13</v>
      </c>
      <c r="D36" s="104" t="s">
        <v>8</v>
      </c>
      <c r="E36" s="67"/>
      <c r="F36" s="68"/>
      <c r="G36" s="66" t="s">
        <v>6</v>
      </c>
      <c r="H36" s="66"/>
      <c r="I36" s="122"/>
      <c r="J36" s="68"/>
      <c r="K36" s="66" t="s">
        <v>6</v>
      </c>
      <c r="L36" s="66"/>
      <c r="M36" s="143" t="s">
        <v>1848</v>
      </c>
      <c r="N36" s="143"/>
      <c r="O36" s="6" t="s">
        <v>19</v>
      </c>
      <c r="P36" s="5" t="s">
        <v>115</v>
      </c>
      <c r="Q36" s="5" t="s">
        <v>0</v>
      </c>
      <c r="R36" s="7" t="s">
        <v>116</v>
      </c>
    </row>
    <row r="37" spans="1:18" ht="15.75" hidden="1" customHeight="1">
      <c r="A37" s="196" t="str">
        <f>HYPERLINK("http://sipi.sic.gov.co/sipi/View.ashx?3906038","SD2022/0010811")</f>
        <v>SD2022/0010811</v>
      </c>
      <c r="B37" s="8" t="s">
        <v>117</v>
      </c>
      <c r="C37" s="57" t="s">
        <v>13</v>
      </c>
      <c r="D37" s="104" t="s">
        <v>8</v>
      </c>
      <c r="E37" s="67"/>
      <c r="F37" s="68"/>
      <c r="G37" s="66" t="s">
        <v>6</v>
      </c>
      <c r="H37" s="66"/>
      <c r="I37" s="122"/>
      <c r="J37" s="68"/>
      <c r="K37" s="66" t="s">
        <v>6</v>
      </c>
      <c r="L37" s="66"/>
      <c r="M37" s="143" t="s">
        <v>1848</v>
      </c>
      <c r="N37" s="143"/>
      <c r="O37" s="6" t="s">
        <v>19</v>
      </c>
      <c r="P37" s="5" t="s">
        <v>118</v>
      </c>
      <c r="Q37" s="5" t="s">
        <v>0</v>
      </c>
      <c r="R37" s="7" t="s">
        <v>119</v>
      </c>
    </row>
    <row r="38" spans="1:18" ht="15.75" hidden="1" customHeight="1">
      <c r="A38" s="196" t="str">
        <f>HYPERLINK("http://sipi.sic.gov.co/sipi/View.ashx?3906379","SD2022/0010585")</f>
        <v>SD2022/0010585</v>
      </c>
      <c r="B38" s="8" t="s">
        <v>120</v>
      </c>
      <c r="C38" s="57" t="s">
        <v>13</v>
      </c>
      <c r="D38" s="104" t="s">
        <v>8</v>
      </c>
      <c r="E38" s="67"/>
      <c r="F38" s="68"/>
      <c r="G38" s="66" t="s">
        <v>6</v>
      </c>
      <c r="H38" s="66"/>
      <c r="I38" s="122"/>
      <c r="J38" s="68"/>
      <c r="K38" s="66" t="s">
        <v>6</v>
      </c>
      <c r="L38" s="66"/>
      <c r="M38" s="143" t="s">
        <v>1848</v>
      </c>
      <c r="N38" s="143"/>
      <c r="O38" s="6" t="s">
        <v>9</v>
      </c>
      <c r="P38" s="5" t="s">
        <v>121</v>
      </c>
      <c r="Q38" s="5" t="s">
        <v>0</v>
      </c>
      <c r="R38" s="7" t="s">
        <v>11</v>
      </c>
    </row>
    <row r="39" spans="1:18" ht="15.75" hidden="1" customHeight="1">
      <c r="A39" s="196" t="str">
        <f>HYPERLINK("http://sipi.sic.gov.co/sipi/View.ashx?3906633","SD2022/0023599")</f>
        <v>SD2022/0023599</v>
      </c>
      <c r="B39" s="8" t="s">
        <v>122</v>
      </c>
      <c r="C39" s="57" t="s">
        <v>13</v>
      </c>
      <c r="D39" s="104" t="s">
        <v>8</v>
      </c>
      <c r="E39" s="67"/>
      <c r="F39" s="68"/>
      <c r="G39" s="66" t="s">
        <v>6</v>
      </c>
      <c r="H39" s="66"/>
      <c r="I39" s="122"/>
      <c r="J39" s="68"/>
      <c r="K39" s="66" t="s">
        <v>6</v>
      </c>
      <c r="L39" s="66"/>
      <c r="M39" s="143" t="s">
        <v>1848</v>
      </c>
      <c r="N39" s="143"/>
      <c r="O39" s="6" t="s">
        <v>19</v>
      </c>
      <c r="P39" s="5" t="s">
        <v>123</v>
      </c>
      <c r="Q39" s="5" t="s">
        <v>124</v>
      </c>
      <c r="R39" s="7" t="s">
        <v>125</v>
      </c>
    </row>
    <row r="40" spans="1:18" ht="15.75" hidden="1" customHeight="1">
      <c r="A40" s="196" t="str">
        <f>HYPERLINK("http://sipi.sic.gov.co/sipi/View.ashx?3907633","SD2022/0010851")</f>
        <v>SD2022/0010851</v>
      </c>
      <c r="B40" s="8" t="s">
        <v>126</v>
      </c>
      <c r="C40" s="57" t="s">
        <v>7</v>
      </c>
      <c r="D40" s="104" t="s">
        <v>8</v>
      </c>
      <c r="E40" s="67"/>
      <c r="F40" s="68"/>
      <c r="G40" s="66" t="s">
        <v>6</v>
      </c>
      <c r="H40" s="66"/>
      <c r="I40" s="122"/>
      <c r="J40" s="68"/>
      <c r="K40" s="66" t="s">
        <v>6</v>
      </c>
      <c r="L40" s="66"/>
      <c r="M40" s="143" t="s">
        <v>1848</v>
      </c>
      <c r="N40" s="143"/>
      <c r="O40" s="6" t="s">
        <v>9</v>
      </c>
      <c r="P40" s="5" t="s">
        <v>127</v>
      </c>
      <c r="Q40" s="5" t="s">
        <v>0</v>
      </c>
      <c r="R40" s="7" t="s">
        <v>128</v>
      </c>
    </row>
    <row r="41" spans="1:18" ht="15.75" hidden="1" customHeight="1">
      <c r="A41" s="196" t="str">
        <f>HYPERLINK("http://sipi.sic.gov.co/sipi/View.ashx?3908368","SD2022/0015280")</f>
        <v>SD2022/0015280</v>
      </c>
      <c r="B41" s="8" t="s">
        <v>129</v>
      </c>
      <c r="C41" s="57" t="s">
        <v>7</v>
      </c>
      <c r="D41" s="104" t="s">
        <v>8</v>
      </c>
      <c r="E41" s="67"/>
      <c r="F41" s="68"/>
      <c r="G41" s="66" t="s">
        <v>6</v>
      </c>
      <c r="H41" s="66"/>
      <c r="I41" s="122"/>
      <c r="J41" s="68"/>
      <c r="K41" s="66" t="s">
        <v>6</v>
      </c>
      <c r="L41" s="66"/>
      <c r="M41" s="143" t="s">
        <v>1848</v>
      </c>
      <c r="N41" s="143"/>
      <c r="O41" s="6" t="s">
        <v>19</v>
      </c>
      <c r="P41" s="5" t="s">
        <v>130</v>
      </c>
      <c r="Q41" s="5" t="s">
        <v>0</v>
      </c>
      <c r="R41" s="7" t="s">
        <v>11</v>
      </c>
    </row>
    <row r="42" spans="1:18" ht="36.75" hidden="1" customHeight="1">
      <c r="A42" s="196" t="str">
        <f>HYPERLINK("http://sipi.sic.gov.co/sipi/View.ashx?3908470","SD2022/0015293")</f>
        <v>SD2022/0015293</v>
      </c>
      <c r="B42" s="8" t="s">
        <v>131</v>
      </c>
      <c r="C42" s="57" t="s">
        <v>7</v>
      </c>
      <c r="D42" s="104" t="s">
        <v>17</v>
      </c>
      <c r="E42" s="69" t="s">
        <v>132</v>
      </c>
      <c r="F42" s="68" t="s">
        <v>1710</v>
      </c>
      <c r="G42" s="66" t="s">
        <v>1848</v>
      </c>
      <c r="H42" s="66" t="s">
        <v>9</v>
      </c>
      <c r="I42" s="122"/>
      <c r="J42" s="68"/>
      <c r="K42" s="66" t="s">
        <v>6</v>
      </c>
      <c r="L42" s="66"/>
      <c r="M42" s="143" t="s">
        <v>1848</v>
      </c>
      <c r="N42" s="143"/>
      <c r="O42" s="6" t="s">
        <v>19</v>
      </c>
      <c r="P42" s="5" t="s">
        <v>130</v>
      </c>
      <c r="Q42" s="5" t="s">
        <v>0</v>
      </c>
      <c r="R42" s="7" t="s">
        <v>11</v>
      </c>
    </row>
    <row r="43" spans="1:18" ht="30" hidden="1" customHeight="1">
      <c r="A43" s="196" t="str">
        <f>HYPERLINK("http://sipi.sic.gov.co/sipi/View.ashx?3908898","SD2022/0011050")</f>
        <v>SD2022/0011050</v>
      </c>
      <c r="B43" s="8" t="s">
        <v>133</v>
      </c>
      <c r="C43" s="57" t="s">
        <v>13</v>
      </c>
      <c r="D43" s="104" t="s">
        <v>8</v>
      </c>
      <c r="E43" s="69"/>
      <c r="F43" s="68"/>
      <c r="G43" s="66" t="s">
        <v>6</v>
      </c>
      <c r="H43" s="66"/>
      <c r="I43" s="122"/>
      <c r="J43" s="68"/>
      <c r="K43" s="66" t="s">
        <v>6</v>
      </c>
      <c r="L43" s="66"/>
      <c r="M43" s="143" t="s">
        <v>1848</v>
      </c>
      <c r="N43" s="143"/>
      <c r="O43" s="6" t="s">
        <v>9</v>
      </c>
      <c r="P43" s="5" t="s">
        <v>134</v>
      </c>
      <c r="Q43" s="5" t="s">
        <v>135</v>
      </c>
      <c r="R43" s="7" t="s">
        <v>136</v>
      </c>
    </row>
    <row r="44" spans="1:18" ht="15.75" hidden="1" customHeight="1">
      <c r="A44" s="196" t="str">
        <f>HYPERLINK("http://sipi.sic.gov.co/sipi/View.ashx?3910713","SD2022/0011343")</f>
        <v>SD2022/0011343</v>
      </c>
      <c r="B44" s="8" t="s">
        <v>137</v>
      </c>
      <c r="C44" s="57" t="s">
        <v>13</v>
      </c>
      <c r="D44" s="104" t="s">
        <v>8</v>
      </c>
      <c r="E44" s="67"/>
      <c r="F44" s="68"/>
      <c r="G44" s="66" t="s">
        <v>6</v>
      </c>
      <c r="H44" s="66"/>
      <c r="I44" s="122"/>
      <c r="J44" s="68"/>
      <c r="K44" s="66" t="s">
        <v>6</v>
      </c>
      <c r="L44" s="66"/>
      <c r="M44" s="143" t="s">
        <v>1848</v>
      </c>
      <c r="N44" s="143"/>
      <c r="O44" s="6" t="s">
        <v>9</v>
      </c>
      <c r="P44" s="5" t="s">
        <v>138</v>
      </c>
      <c r="Q44" s="5" t="s">
        <v>139</v>
      </c>
      <c r="R44" s="7" t="s">
        <v>140</v>
      </c>
    </row>
    <row r="45" spans="1:18" ht="15.75" hidden="1" customHeight="1">
      <c r="A45" s="196" t="str">
        <f>HYPERLINK("http://sipi.sic.gov.co/sipi/View.ashx?3911002","SD2022/0011404")</f>
        <v>SD2022/0011404</v>
      </c>
      <c r="B45" s="8" t="s">
        <v>141</v>
      </c>
      <c r="C45" s="57" t="s">
        <v>13</v>
      </c>
      <c r="D45" s="104" t="s">
        <v>8</v>
      </c>
      <c r="E45" s="67"/>
      <c r="F45" s="68"/>
      <c r="G45" s="66" t="s">
        <v>6</v>
      </c>
      <c r="H45" s="66"/>
      <c r="I45" s="122"/>
      <c r="J45" s="68"/>
      <c r="K45" s="66" t="s">
        <v>6</v>
      </c>
      <c r="L45" s="66"/>
      <c r="M45" s="143" t="s">
        <v>1848</v>
      </c>
      <c r="N45" s="143"/>
      <c r="O45" s="6" t="s">
        <v>19</v>
      </c>
      <c r="P45" s="5" t="s">
        <v>142</v>
      </c>
      <c r="Q45" s="5" t="s">
        <v>0</v>
      </c>
      <c r="R45" s="7" t="s">
        <v>143</v>
      </c>
    </row>
    <row r="46" spans="1:18" ht="46.8" hidden="1">
      <c r="A46" s="196" t="str">
        <f>HYPERLINK("http://sipi.sic.gov.co/sipi/View.ashx?3911266","SD2022/0011458")</f>
        <v>SD2022/0011458</v>
      </c>
      <c r="B46" s="8" t="s">
        <v>144</v>
      </c>
      <c r="C46" s="57" t="s">
        <v>7</v>
      </c>
      <c r="D46" s="104" t="s">
        <v>17</v>
      </c>
      <c r="E46" s="69" t="s">
        <v>145</v>
      </c>
      <c r="F46" s="68" t="s">
        <v>1711</v>
      </c>
      <c r="G46" s="66" t="s">
        <v>1848</v>
      </c>
      <c r="H46" s="66" t="s">
        <v>19</v>
      </c>
      <c r="I46" s="122"/>
      <c r="J46" s="68"/>
      <c r="K46" s="66" t="s">
        <v>6</v>
      </c>
      <c r="L46" s="66"/>
      <c r="M46" s="143" t="s">
        <v>1848</v>
      </c>
      <c r="N46" s="143"/>
      <c r="O46" s="6" t="s">
        <v>9</v>
      </c>
      <c r="P46" s="5" t="s">
        <v>146</v>
      </c>
      <c r="Q46" s="5" t="s">
        <v>0</v>
      </c>
      <c r="R46" s="7" t="s">
        <v>147</v>
      </c>
    </row>
    <row r="47" spans="1:18" ht="15.75" hidden="1" customHeight="1">
      <c r="A47" s="196" t="str">
        <f>HYPERLINK("http://sipi.sic.gov.co/sipi/View.ashx?3911808","SD2022/0016367")</f>
        <v>SD2022/0016367</v>
      </c>
      <c r="B47" s="8" t="s">
        <v>148</v>
      </c>
      <c r="C47" s="57" t="s">
        <v>13</v>
      </c>
      <c r="D47" s="104" t="s">
        <v>8</v>
      </c>
      <c r="E47" s="67"/>
      <c r="F47" s="68"/>
      <c r="G47" s="66" t="s">
        <v>6</v>
      </c>
      <c r="H47" s="66"/>
      <c r="I47" s="122"/>
      <c r="J47" s="68"/>
      <c r="K47" s="66" t="s">
        <v>6</v>
      </c>
      <c r="L47" s="66"/>
      <c r="M47" s="143" t="s">
        <v>1849</v>
      </c>
      <c r="N47" s="143"/>
      <c r="O47" s="6" t="s">
        <v>9</v>
      </c>
      <c r="P47" s="5" t="s">
        <v>149</v>
      </c>
      <c r="Q47" s="5" t="s">
        <v>0</v>
      </c>
      <c r="R47" s="7" t="s">
        <v>150</v>
      </c>
    </row>
    <row r="48" spans="1:18" ht="57.75" hidden="1" customHeight="1">
      <c r="A48" s="196" t="str">
        <f>HYPERLINK("http://sipi.sic.gov.co/sipi/View.ashx?3911821","SD2022/0016353")</f>
        <v>SD2022/0016353</v>
      </c>
      <c r="B48" s="8" t="s">
        <v>151</v>
      </c>
      <c r="C48" s="57" t="s">
        <v>13</v>
      </c>
      <c r="D48" s="104" t="s">
        <v>8</v>
      </c>
      <c r="E48" s="67"/>
      <c r="F48" s="68"/>
      <c r="G48" s="66" t="s">
        <v>6</v>
      </c>
      <c r="H48" s="66"/>
      <c r="I48" s="122"/>
      <c r="J48" s="68"/>
      <c r="K48" s="66" t="s">
        <v>6</v>
      </c>
      <c r="L48" s="66"/>
      <c r="M48" s="143" t="s">
        <v>1849</v>
      </c>
      <c r="N48" s="143"/>
      <c r="O48" s="6" t="s">
        <v>9</v>
      </c>
      <c r="P48" s="5" t="s">
        <v>149</v>
      </c>
      <c r="Q48" s="5" t="s">
        <v>0</v>
      </c>
      <c r="R48" s="7" t="s">
        <v>150</v>
      </c>
    </row>
    <row r="49" spans="1:18" ht="57.75" customHeight="1">
      <c r="A49" s="197" t="str">
        <f>HYPERLINK("http://sipi.sic.gov.co/sipi/View.ashx?3911834","SD2022/0013952")</f>
        <v>SD2022/0013952</v>
      </c>
      <c r="B49" s="156" t="s">
        <v>152</v>
      </c>
      <c r="C49" s="159" t="s">
        <v>13</v>
      </c>
      <c r="D49" s="160" t="s">
        <v>17</v>
      </c>
      <c r="E49" s="157" t="s">
        <v>153</v>
      </c>
      <c r="F49" s="161" t="s">
        <v>1712</v>
      </c>
      <c r="G49" s="66" t="s">
        <v>1848</v>
      </c>
      <c r="H49" s="66" t="s">
        <v>9</v>
      </c>
      <c r="I49" s="162" t="s">
        <v>154</v>
      </c>
      <c r="J49" s="161" t="s">
        <v>1840</v>
      </c>
      <c r="K49" s="163" t="s">
        <v>1848</v>
      </c>
      <c r="L49" s="164" t="s">
        <v>19</v>
      </c>
      <c r="M49" s="143" t="s">
        <v>6</v>
      </c>
      <c r="N49" s="143"/>
      <c r="O49" s="6"/>
      <c r="P49" s="5"/>
      <c r="Q49" s="5"/>
      <c r="R49" s="7"/>
    </row>
    <row r="50" spans="1:18" ht="46.8" hidden="1">
      <c r="A50" s="198"/>
      <c r="B50" s="156" t="s">
        <v>152</v>
      </c>
      <c r="C50" s="159" t="s">
        <v>13</v>
      </c>
      <c r="D50" s="160" t="s">
        <v>17</v>
      </c>
      <c r="E50" s="157" t="s">
        <v>153</v>
      </c>
      <c r="F50" s="161" t="s">
        <v>1712</v>
      </c>
      <c r="G50" s="66" t="s">
        <v>1849</v>
      </c>
      <c r="H50" s="66" t="s">
        <v>19</v>
      </c>
      <c r="I50" s="165"/>
      <c r="J50" s="140"/>
      <c r="K50" s="166"/>
      <c r="L50" s="167"/>
      <c r="M50" s="143" t="s">
        <v>1848</v>
      </c>
      <c r="N50" s="143"/>
      <c r="O50" s="6" t="s">
        <v>19</v>
      </c>
      <c r="P50" s="5" t="s">
        <v>149</v>
      </c>
      <c r="Q50" s="5" t="s">
        <v>0</v>
      </c>
      <c r="R50" s="7" t="s">
        <v>150</v>
      </c>
    </row>
    <row r="51" spans="1:18" ht="51.75" hidden="1" customHeight="1">
      <c r="A51" s="196" t="str">
        <f>HYPERLINK("http://sipi.sic.gov.co/sipi/View.ashx?3911843","SD2022/0013948")</f>
        <v>SD2022/0013948</v>
      </c>
      <c r="B51" s="8" t="s">
        <v>155</v>
      </c>
      <c r="C51" s="57" t="s">
        <v>13</v>
      </c>
      <c r="D51" s="104" t="s">
        <v>17</v>
      </c>
      <c r="E51" s="69" t="s">
        <v>156</v>
      </c>
      <c r="F51" s="229" t="s">
        <v>1881</v>
      </c>
      <c r="G51" s="66" t="s">
        <v>1848</v>
      </c>
      <c r="H51" s="66" t="s">
        <v>9</v>
      </c>
      <c r="I51" s="122"/>
      <c r="J51" s="68"/>
      <c r="K51" s="66" t="s">
        <v>6</v>
      </c>
      <c r="L51" s="66"/>
      <c r="M51" s="143" t="s">
        <v>1848</v>
      </c>
      <c r="N51" s="143"/>
      <c r="O51" s="6" t="s">
        <v>19</v>
      </c>
      <c r="P51" s="5" t="s">
        <v>149</v>
      </c>
      <c r="Q51" s="5" t="s">
        <v>0</v>
      </c>
      <c r="R51" s="7" t="s">
        <v>150</v>
      </c>
    </row>
    <row r="52" spans="1:18" ht="58.5" hidden="1" customHeight="1">
      <c r="A52" s="196" t="str">
        <f>HYPERLINK("http://sipi.sic.gov.co/sipi/View.ashx?3911883","SD2022/0013933")</f>
        <v>SD2022/0013933</v>
      </c>
      <c r="B52" s="8" t="s">
        <v>157</v>
      </c>
      <c r="C52" s="57" t="s">
        <v>13</v>
      </c>
      <c r="D52" s="104" t="s">
        <v>8</v>
      </c>
      <c r="E52" s="67"/>
      <c r="F52" s="68"/>
      <c r="G52" s="66" t="s">
        <v>6</v>
      </c>
      <c r="H52" s="66"/>
      <c r="I52" s="122"/>
      <c r="J52" s="68"/>
      <c r="K52" s="66" t="s">
        <v>6</v>
      </c>
      <c r="L52" s="66"/>
      <c r="M52" s="143" t="s">
        <v>1848</v>
      </c>
      <c r="N52" s="143"/>
      <c r="O52" s="6" t="s">
        <v>9</v>
      </c>
      <c r="P52" s="5" t="s">
        <v>149</v>
      </c>
      <c r="Q52" s="5" t="s">
        <v>0</v>
      </c>
      <c r="R52" s="7" t="s">
        <v>150</v>
      </c>
    </row>
    <row r="53" spans="1:18" ht="15.75" hidden="1" customHeight="1">
      <c r="A53" s="196" t="str">
        <f>HYPERLINK("http://sipi.sic.gov.co/sipi/View.ashx?3914398","SD2022/0013308")</f>
        <v>SD2022/0013308</v>
      </c>
      <c r="B53" s="8" t="s">
        <v>158</v>
      </c>
      <c r="C53" s="57" t="s">
        <v>13</v>
      </c>
      <c r="D53" s="104" t="s">
        <v>8</v>
      </c>
      <c r="E53" s="67"/>
      <c r="F53" s="68"/>
      <c r="G53" s="66" t="s">
        <v>6</v>
      </c>
      <c r="H53" s="66"/>
      <c r="I53" s="122"/>
      <c r="J53" s="68"/>
      <c r="K53" s="66" t="s">
        <v>6</v>
      </c>
      <c r="L53" s="66"/>
      <c r="M53" s="143" t="s">
        <v>1848</v>
      </c>
      <c r="N53" s="143"/>
      <c r="O53" s="6" t="s">
        <v>19</v>
      </c>
      <c r="P53" s="5" t="s">
        <v>159</v>
      </c>
      <c r="Q53" s="5" t="s">
        <v>0</v>
      </c>
      <c r="R53" s="7" t="s">
        <v>160</v>
      </c>
    </row>
    <row r="54" spans="1:18" ht="15.75" hidden="1" customHeight="1">
      <c r="A54" s="196" t="str">
        <f>HYPERLINK("http://sipi.sic.gov.co/sipi/View.ashx?3914432","SD2022/0016503")</f>
        <v>SD2022/0016503</v>
      </c>
      <c r="B54" s="8" t="s">
        <v>161</v>
      </c>
      <c r="C54" s="57" t="s">
        <v>13</v>
      </c>
      <c r="D54" s="104" t="s">
        <v>8</v>
      </c>
      <c r="E54" s="67"/>
      <c r="F54" s="68"/>
      <c r="G54" s="66" t="s">
        <v>6</v>
      </c>
      <c r="H54" s="66"/>
      <c r="I54" s="122"/>
      <c r="J54" s="68"/>
      <c r="K54" s="66" t="s">
        <v>6</v>
      </c>
      <c r="L54" s="66"/>
      <c r="M54" s="143" t="s">
        <v>1848</v>
      </c>
      <c r="N54" s="143"/>
      <c r="O54" s="6" t="s">
        <v>19</v>
      </c>
      <c r="P54" s="5" t="s">
        <v>162</v>
      </c>
      <c r="Q54" s="5" t="s">
        <v>0</v>
      </c>
      <c r="R54" s="7" t="s">
        <v>163</v>
      </c>
    </row>
    <row r="55" spans="1:18" ht="15.75" hidden="1" customHeight="1">
      <c r="A55" s="196" t="str">
        <f>HYPERLINK("http://sipi.sic.gov.co/sipi/View.ashx?3916266","SD2022/0012699")</f>
        <v>SD2022/0012699</v>
      </c>
      <c r="B55" s="8" t="s">
        <v>164</v>
      </c>
      <c r="C55" s="57" t="s">
        <v>7</v>
      </c>
      <c r="D55" s="104" t="s">
        <v>8</v>
      </c>
      <c r="E55" s="67"/>
      <c r="F55" s="68"/>
      <c r="G55" s="66" t="s">
        <v>6</v>
      </c>
      <c r="H55" s="66"/>
      <c r="I55" s="122"/>
      <c r="J55" s="68"/>
      <c r="K55" s="66" t="s">
        <v>6</v>
      </c>
      <c r="L55" s="66"/>
      <c r="M55" s="143" t="s">
        <v>1848</v>
      </c>
      <c r="N55" s="143"/>
      <c r="O55" s="6" t="s">
        <v>9</v>
      </c>
      <c r="P55" s="5" t="s">
        <v>165</v>
      </c>
      <c r="Q55" s="5" t="s">
        <v>0</v>
      </c>
      <c r="R55" s="7" t="s">
        <v>166</v>
      </c>
    </row>
    <row r="56" spans="1:18" ht="15.75" hidden="1" customHeight="1">
      <c r="A56" s="196" t="str">
        <f>HYPERLINK("http://sipi.sic.gov.co/sipi/View.ashx?3916324","SD2022/0012692")</f>
        <v>SD2022/0012692</v>
      </c>
      <c r="B56" s="8" t="s">
        <v>167</v>
      </c>
      <c r="C56" s="57" t="s">
        <v>7</v>
      </c>
      <c r="D56" s="104" t="s">
        <v>8</v>
      </c>
      <c r="E56" s="67"/>
      <c r="F56" s="68"/>
      <c r="G56" s="66" t="s">
        <v>6</v>
      </c>
      <c r="H56" s="66"/>
      <c r="I56" s="122"/>
      <c r="J56" s="68"/>
      <c r="K56" s="66" t="s">
        <v>6</v>
      </c>
      <c r="L56" s="66"/>
      <c r="M56" s="143" t="s">
        <v>1848</v>
      </c>
      <c r="N56" s="143"/>
      <c r="O56" s="6" t="s">
        <v>9</v>
      </c>
      <c r="P56" s="5" t="s">
        <v>168</v>
      </c>
      <c r="Q56" s="5" t="s">
        <v>0</v>
      </c>
      <c r="R56" s="7" t="s">
        <v>11</v>
      </c>
    </row>
    <row r="57" spans="1:18" ht="37.5" hidden="1" customHeight="1">
      <c r="A57" s="196" t="str">
        <f>HYPERLINK("http://sipi.sic.gov.co/sipi/View.ashx?3917661","SD2022/0012884")</f>
        <v>SD2022/0012884</v>
      </c>
      <c r="B57" s="8" t="s">
        <v>169</v>
      </c>
      <c r="C57" s="57" t="s">
        <v>7</v>
      </c>
      <c r="D57" s="104" t="s">
        <v>17</v>
      </c>
      <c r="E57" s="69" t="s">
        <v>170</v>
      </c>
      <c r="F57" s="68" t="s">
        <v>1708</v>
      </c>
      <c r="G57" s="66" t="s">
        <v>1848</v>
      </c>
      <c r="H57" s="66" t="s">
        <v>9</v>
      </c>
      <c r="I57" s="122"/>
      <c r="J57" s="68"/>
      <c r="K57" s="66" t="s">
        <v>6</v>
      </c>
      <c r="L57" s="66"/>
      <c r="M57" s="143" t="s">
        <v>1848</v>
      </c>
      <c r="N57" s="143"/>
      <c r="O57" s="6" t="s">
        <v>9</v>
      </c>
      <c r="P57" s="5" t="s">
        <v>171</v>
      </c>
      <c r="Q57" s="5" t="s">
        <v>0</v>
      </c>
      <c r="R57" s="7" t="s">
        <v>11</v>
      </c>
    </row>
    <row r="58" spans="1:18" ht="15.75" hidden="1" customHeight="1">
      <c r="A58" s="196" t="str">
        <f>HYPERLINK("http://sipi.sic.gov.co/sipi/View.ashx?3918359","SD2022/0012969")</f>
        <v>SD2022/0012969</v>
      </c>
      <c r="B58" s="8" t="s">
        <v>172</v>
      </c>
      <c r="C58" s="57" t="s">
        <v>7</v>
      </c>
      <c r="D58" s="104" t="s">
        <v>8</v>
      </c>
      <c r="E58" s="67"/>
      <c r="F58" s="68"/>
      <c r="G58" s="66" t="s">
        <v>6</v>
      </c>
      <c r="H58" s="66"/>
      <c r="I58" s="122"/>
      <c r="J58" s="68"/>
      <c r="K58" s="66" t="s">
        <v>6</v>
      </c>
      <c r="L58" s="66"/>
      <c r="M58" s="143" t="s">
        <v>1848</v>
      </c>
      <c r="N58" s="143"/>
      <c r="O58" s="6" t="s">
        <v>9</v>
      </c>
      <c r="P58" s="5" t="s">
        <v>173</v>
      </c>
      <c r="Q58" s="5" t="s">
        <v>0</v>
      </c>
      <c r="R58" s="7" t="s">
        <v>174</v>
      </c>
    </row>
    <row r="59" spans="1:18" ht="15.75" hidden="1" customHeight="1">
      <c r="A59" s="196" t="str">
        <f>HYPERLINK("http://sipi.sic.gov.co/sipi/View.ashx?3918690","SD2022/0013034")</f>
        <v>SD2022/0013034</v>
      </c>
      <c r="B59" s="8" t="s">
        <v>175</v>
      </c>
      <c r="C59" s="57" t="s">
        <v>13</v>
      </c>
      <c r="D59" s="104" t="s">
        <v>8</v>
      </c>
      <c r="E59" s="67"/>
      <c r="F59" s="68"/>
      <c r="G59" s="66" t="s">
        <v>6</v>
      </c>
      <c r="H59" s="66"/>
      <c r="I59" s="122"/>
      <c r="J59" s="68"/>
      <c r="K59" s="66" t="s">
        <v>6</v>
      </c>
      <c r="L59" s="66"/>
      <c r="M59" s="143" t="s">
        <v>1848</v>
      </c>
      <c r="N59" s="143"/>
      <c r="O59" s="6" t="s">
        <v>9</v>
      </c>
      <c r="P59" s="5" t="s">
        <v>176</v>
      </c>
      <c r="Q59" s="5" t="s">
        <v>0</v>
      </c>
      <c r="R59" s="7" t="s">
        <v>177</v>
      </c>
    </row>
    <row r="60" spans="1:18" ht="57.6" hidden="1">
      <c r="A60" s="196" t="str">
        <f>HYPERLINK("http://sipi.sic.gov.co/sipi/View.ashx?3919065","SD2022/0013136")</f>
        <v>SD2022/0013136</v>
      </c>
      <c r="B60" s="8" t="s">
        <v>178</v>
      </c>
      <c r="C60" s="57" t="s">
        <v>13</v>
      </c>
      <c r="D60" s="104" t="s">
        <v>17</v>
      </c>
      <c r="E60" s="157" t="s">
        <v>90</v>
      </c>
      <c r="F60" s="161" t="s">
        <v>1705</v>
      </c>
      <c r="G60" s="66" t="s">
        <v>1848</v>
      </c>
      <c r="H60" s="66" t="s">
        <v>19</v>
      </c>
      <c r="I60" s="124"/>
      <c r="J60" s="68"/>
      <c r="K60" s="66" t="s">
        <v>6</v>
      </c>
      <c r="L60" s="66"/>
      <c r="M60" s="143" t="s">
        <v>1849</v>
      </c>
      <c r="N60" s="143"/>
      <c r="O60" s="6" t="s">
        <v>9</v>
      </c>
      <c r="P60" s="5" t="s">
        <v>179</v>
      </c>
      <c r="Q60" s="5" t="s">
        <v>180</v>
      </c>
      <c r="R60" s="7" t="s">
        <v>181</v>
      </c>
    </row>
    <row r="61" spans="1:18" ht="15.75" hidden="1" customHeight="1">
      <c r="A61" s="196" t="str">
        <f>HYPERLINK("http://sipi.sic.gov.co/sipi/View.ashx?3920311","SD2022/0013840")</f>
        <v>SD2022/0013840</v>
      </c>
      <c r="B61" s="8" t="s">
        <v>182</v>
      </c>
      <c r="C61" s="57" t="s">
        <v>13</v>
      </c>
      <c r="D61" s="104" t="s">
        <v>8</v>
      </c>
      <c r="E61" s="67"/>
      <c r="F61" s="68"/>
      <c r="G61" s="66" t="s">
        <v>6</v>
      </c>
      <c r="H61" s="66"/>
      <c r="I61" s="122"/>
      <c r="J61" s="68"/>
      <c r="K61" s="66" t="s">
        <v>6</v>
      </c>
      <c r="L61" s="66"/>
      <c r="M61" s="143" t="s">
        <v>1848</v>
      </c>
      <c r="N61" s="143"/>
      <c r="O61" s="6" t="s">
        <v>9</v>
      </c>
      <c r="P61" s="5" t="s">
        <v>183</v>
      </c>
      <c r="Q61" s="5" t="s">
        <v>0</v>
      </c>
      <c r="R61" s="7" t="s">
        <v>184</v>
      </c>
    </row>
    <row r="62" spans="1:18" ht="15.75" hidden="1" customHeight="1">
      <c r="A62" s="196" t="str">
        <f>HYPERLINK("http://sipi.sic.gov.co/sipi/View.ashx?3920832","SD2022/0013467")</f>
        <v>SD2022/0013467</v>
      </c>
      <c r="B62" s="8" t="s">
        <v>185</v>
      </c>
      <c r="C62" s="57" t="s">
        <v>7</v>
      </c>
      <c r="D62" s="104" t="s">
        <v>8</v>
      </c>
      <c r="E62" s="67"/>
      <c r="F62" s="68"/>
      <c r="G62" s="66" t="s">
        <v>6</v>
      </c>
      <c r="H62" s="66"/>
      <c r="I62" s="122"/>
      <c r="J62" s="68"/>
      <c r="K62" s="66" t="s">
        <v>6</v>
      </c>
      <c r="L62" s="66"/>
      <c r="M62" s="143" t="s">
        <v>1848</v>
      </c>
      <c r="N62" s="143"/>
      <c r="O62" s="6" t="s">
        <v>19</v>
      </c>
      <c r="P62" s="5" t="s">
        <v>186</v>
      </c>
      <c r="Q62" s="5" t="s">
        <v>0</v>
      </c>
      <c r="R62" s="7" t="s">
        <v>187</v>
      </c>
    </row>
    <row r="63" spans="1:18" ht="15.75" hidden="1" customHeight="1">
      <c r="A63" s="196" t="str">
        <f>HYPERLINK("http://sipi.sic.gov.co/sipi/View.ashx?3921534","SD2022/0013610")</f>
        <v>SD2022/0013610</v>
      </c>
      <c r="B63" s="8" t="s">
        <v>188</v>
      </c>
      <c r="C63" s="57" t="s">
        <v>7</v>
      </c>
      <c r="D63" s="104" t="s">
        <v>8</v>
      </c>
      <c r="E63" s="67"/>
      <c r="F63" s="68"/>
      <c r="G63" s="66" t="s">
        <v>6</v>
      </c>
      <c r="H63" s="66"/>
      <c r="I63" s="122"/>
      <c r="J63" s="68"/>
      <c r="K63" s="66" t="s">
        <v>6</v>
      </c>
      <c r="L63" s="66"/>
      <c r="M63" s="143" t="s">
        <v>1848</v>
      </c>
      <c r="N63" s="143"/>
      <c r="O63" s="6" t="s">
        <v>9</v>
      </c>
      <c r="P63" s="5" t="s">
        <v>189</v>
      </c>
      <c r="Q63" s="5" t="s">
        <v>0</v>
      </c>
      <c r="R63" s="7" t="s">
        <v>190</v>
      </c>
    </row>
    <row r="64" spans="1:18" ht="15.75" hidden="1" customHeight="1">
      <c r="A64" s="196" t="str">
        <f>HYPERLINK("http://sipi.sic.gov.co/sipi/View.ashx?3921647","SD2022/0013646")</f>
        <v>SD2022/0013646</v>
      </c>
      <c r="B64" s="8" t="s">
        <v>191</v>
      </c>
      <c r="C64" s="57" t="s">
        <v>7</v>
      </c>
      <c r="D64" s="104" t="s">
        <v>8</v>
      </c>
      <c r="E64" s="67"/>
      <c r="F64" s="68"/>
      <c r="G64" s="66" t="s">
        <v>6</v>
      </c>
      <c r="H64" s="66"/>
      <c r="I64" s="122"/>
      <c r="J64" s="68"/>
      <c r="K64" s="66" t="s">
        <v>6</v>
      </c>
      <c r="L64" s="66"/>
      <c r="M64" s="143" t="s">
        <v>1849</v>
      </c>
      <c r="N64" s="143"/>
      <c r="O64" s="6" t="s">
        <v>19</v>
      </c>
      <c r="P64" s="5" t="s">
        <v>189</v>
      </c>
      <c r="Q64" s="5" t="s">
        <v>0</v>
      </c>
      <c r="R64" s="7" t="s">
        <v>190</v>
      </c>
    </row>
    <row r="65" spans="1:18" ht="15.75" hidden="1" customHeight="1">
      <c r="A65" s="196" t="str">
        <f>HYPERLINK("http://sipi.sic.gov.co/sipi/View.ashx?3921734","SD2022/0013676")</f>
        <v>SD2022/0013676</v>
      </c>
      <c r="B65" s="8" t="s">
        <v>192</v>
      </c>
      <c r="C65" s="57" t="s">
        <v>7</v>
      </c>
      <c r="D65" s="104" t="s">
        <v>8</v>
      </c>
      <c r="E65" s="67"/>
      <c r="F65" s="68"/>
      <c r="G65" s="66" t="s">
        <v>6</v>
      </c>
      <c r="H65" s="66"/>
      <c r="I65" s="122"/>
      <c r="J65" s="68"/>
      <c r="K65" s="66" t="s">
        <v>6</v>
      </c>
      <c r="L65" s="66"/>
      <c r="M65" s="143" t="s">
        <v>1849</v>
      </c>
      <c r="N65" s="143"/>
      <c r="O65" s="6" t="s">
        <v>19</v>
      </c>
      <c r="P65" s="5" t="s">
        <v>189</v>
      </c>
      <c r="Q65" s="5" t="s">
        <v>0</v>
      </c>
      <c r="R65" s="7" t="s">
        <v>190</v>
      </c>
    </row>
    <row r="66" spans="1:18" ht="15.75" hidden="1" customHeight="1">
      <c r="A66" s="196" t="str">
        <f>HYPERLINK("http://sipi.sic.gov.co/sipi/View.ashx?3921842","SD2022/0013705")</f>
        <v>SD2022/0013705</v>
      </c>
      <c r="B66" s="8" t="s">
        <v>193</v>
      </c>
      <c r="C66" s="57" t="s">
        <v>13</v>
      </c>
      <c r="D66" s="104" t="s">
        <v>8</v>
      </c>
      <c r="E66" s="67"/>
      <c r="F66" s="68"/>
      <c r="G66" s="66" t="s">
        <v>6</v>
      </c>
      <c r="H66" s="66"/>
      <c r="I66" s="122"/>
      <c r="J66" s="68"/>
      <c r="K66" s="66" t="s">
        <v>6</v>
      </c>
      <c r="L66" s="66"/>
      <c r="M66" s="143" t="s">
        <v>1849</v>
      </c>
      <c r="N66" s="143"/>
      <c r="O66" s="6" t="s">
        <v>9</v>
      </c>
      <c r="P66" s="5" t="s">
        <v>194</v>
      </c>
      <c r="Q66" s="5" t="s">
        <v>0</v>
      </c>
      <c r="R66" s="7" t="s">
        <v>195</v>
      </c>
    </row>
    <row r="67" spans="1:18" ht="15.75" hidden="1" customHeight="1">
      <c r="A67" s="196" t="str">
        <f>HYPERLINK("http://sipi.sic.gov.co/sipi/View.ashx?3923059","SD2022/0013922")</f>
        <v>SD2022/0013922</v>
      </c>
      <c r="B67" s="8" t="s">
        <v>196</v>
      </c>
      <c r="C67" s="57" t="s">
        <v>13</v>
      </c>
      <c r="D67" s="104" t="s">
        <v>8</v>
      </c>
      <c r="E67" s="67"/>
      <c r="F67" s="68"/>
      <c r="G67" s="66" t="s">
        <v>6</v>
      </c>
      <c r="H67" s="66"/>
      <c r="I67" s="122"/>
      <c r="J67" s="68"/>
      <c r="K67" s="66" t="s">
        <v>6</v>
      </c>
      <c r="L67" s="66"/>
      <c r="M67" s="143" t="s">
        <v>1848</v>
      </c>
      <c r="N67" s="143"/>
      <c r="O67" s="6" t="s">
        <v>19</v>
      </c>
      <c r="P67" s="5" t="s">
        <v>197</v>
      </c>
      <c r="Q67" s="5" t="s">
        <v>0</v>
      </c>
      <c r="R67" s="7" t="s">
        <v>198</v>
      </c>
    </row>
    <row r="68" spans="1:18" ht="15.75" hidden="1" customHeight="1">
      <c r="A68" s="196" t="str">
        <f>HYPERLINK("http://sipi.sic.gov.co/sipi/View.ashx?3923706","SD2022/0014061")</f>
        <v>SD2022/0014061</v>
      </c>
      <c r="B68" s="8" t="s">
        <v>199</v>
      </c>
      <c r="C68" s="57" t="s">
        <v>13</v>
      </c>
      <c r="D68" s="104" t="s">
        <v>17</v>
      </c>
      <c r="E68" s="69" t="s">
        <v>200</v>
      </c>
      <c r="F68" s="68" t="s">
        <v>1713</v>
      </c>
      <c r="G68" s="66" t="s">
        <v>1848</v>
      </c>
      <c r="H68" s="66" t="s">
        <v>19</v>
      </c>
      <c r="I68" s="122"/>
      <c r="J68" s="68"/>
      <c r="K68" s="66" t="s">
        <v>6</v>
      </c>
      <c r="L68" s="66"/>
      <c r="M68" s="143" t="s">
        <v>1848</v>
      </c>
      <c r="N68" s="143"/>
      <c r="O68" s="6" t="s">
        <v>9</v>
      </c>
      <c r="P68" s="5" t="s">
        <v>201</v>
      </c>
      <c r="Q68" s="5" t="s">
        <v>0</v>
      </c>
      <c r="R68" s="7" t="s">
        <v>11</v>
      </c>
    </row>
    <row r="69" spans="1:18" ht="15.75" hidden="1" customHeight="1">
      <c r="A69" s="196" t="str">
        <f>HYPERLINK("http://sipi.sic.gov.co/sipi/View.ashx?3923847","SD2022/0014098")</f>
        <v>SD2022/0014098</v>
      </c>
      <c r="B69" s="8" t="s">
        <v>202</v>
      </c>
      <c r="C69" s="57" t="s">
        <v>7</v>
      </c>
      <c r="D69" s="104" t="s">
        <v>8</v>
      </c>
      <c r="E69" s="67"/>
      <c r="F69" s="68"/>
      <c r="G69" s="66" t="s">
        <v>6</v>
      </c>
      <c r="H69" s="66"/>
      <c r="I69" s="122"/>
      <c r="J69" s="68"/>
      <c r="K69" s="66" t="s">
        <v>6</v>
      </c>
      <c r="L69" s="66"/>
      <c r="M69" s="143" t="s">
        <v>1848</v>
      </c>
      <c r="N69" s="143"/>
      <c r="O69" s="6" t="s">
        <v>19</v>
      </c>
      <c r="P69" s="5" t="s">
        <v>203</v>
      </c>
      <c r="Q69" s="5" t="s">
        <v>0</v>
      </c>
      <c r="R69" s="7" t="s">
        <v>204</v>
      </c>
    </row>
    <row r="70" spans="1:18" ht="15.75" hidden="1" customHeight="1">
      <c r="A70" s="199" t="str">
        <f>HYPERLINK("http://sipi.sic.gov.co/sipi/View.ashx?3928362","SD2022/0015309")</f>
        <v>SD2022/0015309</v>
      </c>
      <c r="B70" s="168" t="s">
        <v>205</v>
      </c>
      <c r="C70" s="169" t="s">
        <v>13</v>
      </c>
      <c r="D70" s="170" t="s">
        <v>17</v>
      </c>
      <c r="E70" s="228" t="s">
        <v>206</v>
      </c>
      <c r="F70" s="171" t="s">
        <v>1823</v>
      </c>
      <c r="G70" s="66" t="s">
        <v>1856</v>
      </c>
      <c r="H70" s="73" t="s">
        <v>9</v>
      </c>
      <c r="I70" s="122"/>
      <c r="J70" s="68"/>
      <c r="K70" s="66"/>
      <c r="L70" s="66"/>
      <c r="M70" s="143" t="s">
        <v>6</v>
      </c>
      <c r="N70" s="143"/>
      <c r="O70" s="6"/>
      <c r="P70" s="5"/>
      <c r="Q70" s="5"/>
      <c r="R70" s="7"/>
    </row>
    <row r="71" spans="1:18" ht="46.8" hidden="1">
      <c r="A71" s="200"/>
      <c r="B71" s="168" t="s">
        <v>205</v>
      </c>
      <c r="C71" s="169" t="s">
        <v>13</v>
      </c>
      <c r="D71" s="170" t="s">
        <v>17</v>
      </c>
      <c r="E71" s="228" t="s">
        <v>206</v>
      </c>
      <c r="F71" s="171" t="s">
        <v>1823</v>
      </c>
      <c r="G71" s="66" t="s">
        <v>1848</v>
      </c>
      <c r="H71" s="73" t="s">
        <v>9</v>
      </c>
      <c r="I71" s="125"/>
      <c r="J71" s="74"/>
      <c r="M71" s="144" t="s">
        <v>1848</v>
      </c>
      <c r="N71" s="144" t="s">
        <v>1856</v>
      </c>
      <c r="O71" s="11" t="s">
        <v>9</v>
      </c>
      <c r="P71" s="10" t="s">
        <v>207</v>
      </c>
      <c r="Q71" s="10" t="s">
        <v>0</v>
      </c>
      <c r="R71" s="12" t="s">
        <v>208</v>
      </c>
    </row>
    <row r="72" spans="1:18" ht="15.75" hidden="1" customHeight="1">
      <c r="A72" s="196" t="str">
        <f>HYPERLINK("http://sipi.sic.gov.co/sipi/View.ashx?3929622","SD2022/0015571")</f>
        <v>SD2022/0015571</v>
      </c>
      <c r="B72" s="8" t="s">
        <v>209</v>
      </c>
      <c r="C72" s="57" t="s">
        <v>13</v>
      </c>
      <c r="D72" s="104" t="s">
        <v>8</v>
      </c>
      <c r="E72" s="67"/>
      <c r="F72" s="68"/>
      <c r="G72" s="66" t="s">
        <v>6</v>
      </c>
      <c r="H72" s="66"/>
      <c r="I72" s="122"/>
      <c r="J72" s="68"/>
      <c r="K72" s="66" t="s">
        <v>6</v>
      </c>
      <c r="L72" s="66"/>
      <c r="M72" s="143" t="s">
        <v>1848</v>
      </c>
      <c r="N72" s="144" t="s">
        <v>6</v>
      </c>
      <c r="O72" s="6" t="s">
        <v>9</v>
      </c>
      <c r="P72" s="5" t="s">
        <v>210</v>
      </c>
      <c r="Q72" s="5" t="s">
        <v>23</v>
      </c>
      <c r="R72" s="7" t="s">
        <v>24</v>
      </c>
    </row>
    <row r="73" spans="1:18" ht="15.75" hidden="1" customHeight="1">
      <c r="A73" s="196" t="str">
        <f>HYPERLINK("http://sipi.sic.gov.co/sipi/View.ashx?3931561","SD2022/0015963")</f>
        <v>SD2022/0015963</v>
      </c>
      <c r="B73" s="8" t="s">
        <v>211</v>
      </c>
      <c r="C73" s="57" t="s">
        <v>13</v>
      </c>
      <c r="D73" s="104" t="s">
        <v>8</v>
      </c>
      <c r="E73" s="67"/>
      <c r="F73" s="68"/>
      <c r="G73" s="66" t="s">
        <v>6</v>
      </c>
      <c r="H73" s="66"/>
      <c r="I73" s="122"/>
      <c r="J73" s="68"/>
      <c r="K73" s="66" t="s">
        <v>6</v>
      </c>
      <c r="L73" s="66"/>
      <c r="M73" s="143" t="s">
        <v>1848</v>
      </c>
      <c r="N73" s="144" t="s">
        <v>6</v>
      </c>
      <c r="O73" s="6" t="s">
        <v>9</v>
      </c>
      <c r="P73" s="5" t="s">
        <v>212</v>
      </c>
      <c r="Q73" s="5" t="s">
        <v>0</v>
      </c>
      <c r="R73" s="7" t="s">
        <v>213</v>
      </c>
    </row>
    <row r="74" spans="1:18" ht="15.6" hidden="1" customHeight="1">
      <c r="A74" s="197" t="str">
        <f>HYPERLINK("http://sipi.sic.gov.co/sipi/View.ashx?3931861","SD2022/0016010")</f>
        <v>SD2022/0016010</v>
      </c>
      <c r="B74" s="156" t="s">
        <v>214</v>
      </c>
      <c r="C74" s="159" t="s">
        <v>13</v>
      </c>
      <c r="D74" s="160" t="s">
        <v>17</v>
      </c>
      <c r="E74" s="172" t="s">
        <v>215</v>
      </c>
      <c r="F74" s="161" t="s">
        <v>1714</v>
      </c>
      <c r="G74" s="66" t="s">
        <v>1856</v>
      </c>
      <c r="H74" s="66" t="s">
        <v>19</v>
      </c>
      <c r="I74" s="122"/>
      <c r="J74" s="68"/>
      <c r="K74" s="66"/>
      <c r="L74" s="66"/>
      <c r="M74" s="143" t="s">
        <v>6</v>
      </c>
      <c r="N74" s="144" t="s">
        <v>6</v>
      </c>
      <c r="O74" s="6"/>
      <c r="P74" s="5"/>
      <c r="Q74" s="5"/>
      <c r="R74" s="7"/>
    </row>
    <row r="75" spans="1:18" ht="28.5" hidden="1" customHeight="1">
      <c r="A75" s="198"/>
      <c r="B75" s="156" t="s">
        <v>214</v>
      </c>
      <c r="C75" s="159" t="s">
        <v>13</v>
      </c>
      <c r="D75" s="160" t="s">
        <v>17</v>
      </c>
      <c r="E75" s="172" t="s">
        <v>215</v>
      </c>
      <c r="F75" s="161" t="s">
        <v>1714</v>
      </c>
      <c r="G75" s="66" t="s">
        <v>1848</v>
      </c>
      <c r="H75" s="66" t="s">
        <v>9</v>
      </c>
      <c r="I75" s="126"/>
      <c r="J75" s="68"/>
      <c r="M75" s="143" t="s">
        <v>1848</v>
      </c>
      <c r="N75" s="144" t="s">
        <v>6</v>
      </c>
      <c r="O75" s="6" t="s">
        <v>9</v>
      </c>
      <c r="P75" s="5" t="s">
        <v>212</v>
      </c>
      <c r="Q75" s="5" t="s">
        <v>0</v>
      </c>
      <c r="R75" s="7" t="s">
        <v>213</v>
      </c>
    </row>
    <row r="76" spans="1:18" ht="27" hidden="1" customHeight="1">
      <c r="A76" s="196" t="str">
        <f>HYPERLINK("http://sipi.sic.gov.co/sipi/View.ashx?3931886","SD2022/0016477")</f>
        <v>SD2022/0016477</v>
      </c>
      <c r="B76" s="8" t="s">
        <v>216</v>
      </c>
      <c r="C76" s="57" t="s">
        <v>13</v>
      </c>
      <c r="D76" s="104" t="s">
        <v>8</v>
      </c>
      <c r="E76" s="69"/>
      <c r="F76" s="68"/>
      <c r="G76" s="66" t="s">
        <v>6</v>
      </c>
      <c r="H76" s="66"/>
      <c r="I76" s="122"/>
      <c r="J76" s="68"/>
      <c r="K76" s="66" t="s">
        <v>6</v>
      </c>
      <c r="L76" s="66"/>
      <c r="M76" s="143" t="s">
        <v>1848</v>
      </c>
      <c r="N76" s="144" t="s">
        <v>6</v>
      </c>
      <c r="O76" s="6" t="s">
        <v>9</v>
      </c>
      <c r="P76" s="5" t="s">
        <v>217</v>
      </c>
      <c r="Q76" s="5" t="s">
        <v>218</v>
      </c>
      <c r="R76" s="7" t="s">
        <v>219</v>
      </c>
    </row>
    <row r="77" spans="1:18" ht="15.75" hidden="1" customHeight="1">
      <c r="A77" s="196" t="str">
        <f>HYPERLINK("http://sipi.sic.gov.co/sipi/View.ashx?3933619","SD2022/0016323")</f>
        <v>SD2022/0016323</v>
      </c>
      <c r="B77" s="8" t="s">
        <v>220</v>
      </c>
      <c r="C77" s="57" t="s">
        <v>13</v>
      </c>
      <c r="D77" s="104" t="s">
        <v>8</v>
      </c>
      <c r="E77" s="67"/>
      <c r="F77" s="68"/>
      <c r="G77" s="66" t="s">
        <v>6</v>
      </c>
      <c r="H77" s="66"/>
      <c r="I77" s="122"/>
      <c r="J77" s="68"/>
      <c r="K77" s="66" t="s">
        <v>6</v>
      </c>
      <c r="L77" s="66"/>
      <c r="M77" s="143" t="s">
        <v>1848</v>
      </c>
      <c r="N77" s="144" t="s">
        <v>6</v>
      </c>
      <c r="O77" s="6" t="s">
        <v>9</v>
      </c>
      <c r="P77" s="5" t="s">
        <v>221</v>
      </c>
      <c r="Q77" s="5" t="s">
        <v>0</v>
      </c>
      <c r="R77" s="7" t="s">
        <v>222</v>
      </c>
    </row>
    <row r="78" spans="1:18" ht="78" hidden="1" customHeight="1">
      <c r="A78" s="196" t="str">
        <f>HYPERLINK("http://sipi.sic.gov.co/sipi/View.ashx?3933781","SD2022/0016361")</f>
        <v>SD2022/0016361</v>
      </c>
      <c r="B78" s="8" t="s">
        <v>223</v>
      </c>
      <c r="C78" s="57" t="s">
        <v>13</v>
      </c>
      <c r="D78" s="104" t="s">
        <v>8</v>
      </c>
      <c r="E78" s="67"/>
      <c r="F78" s="68"/>
      <c r="G78" s="66" t="s">
        <v>6</v>
      </c>
      <c r="H78" s="66"/>
      <c r="I78" s="122"/>
      <c r="J78" s="68"/>
      <c r="K78" s="66" t="s">
        <v>6</v>
      </c>
      <c r="L78" s="66"/>
      <c r="M78" s="143" t="s">
        <v>1848</v>
      </c>
      <c r="N78" s="144" t="s">
        <v>6</v>
      </c>
      <c r="O78" s="6" t="s">
        <v>9</v>
      </c>
      <c r="P78" s="5" t="s">
        <v>149</v>
      </c>
      <c r="Q78" s="5" t="s">
        <v>0</v>
      </c>
      <c r="R78" s="7" t="s">
        <v>150</v>
      </c>
    </row>
    <row r="79" spans="1:18" ht="15.75" hidden="1" customHeight="1">
      <c r="A79" s="196" t="str">
        <f>HYPERLINK("http://sipi.sic.gov.co/sipi/View.ashx?3935298","SD2022/0016666")</f>
        <v>SD2022/0016666</v>
      </c>
      <c r="B79" s="8" t="s">
        <v>224</v>
      </c>
      <c r="C79" s="57" t="s">
        <v>7</v>
      </c>
      <c r="D79" s="104" t="s">
        <v>8</v>
      </c>
      <c r="E79" s="67"/>
      <c r="F79" s="68"/>
      <c r="G79" s="66" t="s">
        <v>6</v>
      </c>
      <c r="H79" s="66"/>
      <c r="I79" s="122"/>
      <c r="J79" s="68"/>
      <c r="K79" s="66" t="s">
        <v>6</v>
      </c>
      <c r="L79" s="66"/>
      <c r="M79" s="143" t="s">
        <v>1848</v>
      </c>
      <c r="N79" s="144" t="s">
        <v>6</v>
      </c>
      <c r="O79" s="6" t="s">
        <v>9</v>
      </c>
      <c r="P79" s="5" t="s">
        <v>225</v>
      </c>
      <c r="Q79" s="5" t="s">
        <v>0</v>
      </c>
      <c r="R79" s="7" t="s">
        <v>226</v>
      </c>
    </row>
    <row r="80" spans="1:18" ht="15.75" hidden="1" customHeight="1">
      <c r="A80" s="196" t="str">
        <f>HYPERLINK("http://sipi.sic.gov.co/sipi/View.ashx?3936447","SD2022/0016966")</f>
        <v>SD2022/0016966</v>
      </c>
      <c r="B80" s="8" t="s">
        <v>227</v>
      </c>
      <c r="C80" s="57" t="s">
        <v>13</v>
      </c>
      <c r="D80" s="104" t="s">
        <v>8</v>
      </c>
      <c r="E80" s="67"/>
      <c r="F80" s="68"/>
      <c r="G80" s="66" t="s">
        <v>6</v>
      </c>
      <c r="H80" s="66"/>
      <c r="I80" s="122"/>
      <c r="J80" s="68"/>
      <c r="K80" s="66" t="s">
        <v>6</v>
      </c>
      <c r="L80" s="66"/>
      <c r="M80" s="143" t="s">
        <v>1848</v>
      </c>
      <c r="N80" s="144" t="s">
        <v>6</v>
      </c>
      <c r="O80" s="6" t="s">
        <v>9</v>
      </c>
      <c r="P80" s="5" t="s">
        <v>228</v>
      </c>
      <c r="Q80" s="5" t="s">
        <v>23</v>
      </c>
      <c r="R80" s="7" t="s">
        <v>229</v>
      </c>
    </row>
    <row r="81" spans="1:18" ht="15.75" hidden="1" customHeight="1">
      <c r="A81" s="196" t="str">
        <f>HYPERLINK("http://sipi.sic.gov.co/sipi/View.ashx?4044476","SD2022/0017293")</f>
        <v>SD2022/0017293</v>
      </c>
      <c r="B81" s="8" t="s">
        <v>230</v>
      </c>
      <c r="C81" s="57" t="s">
        <v>7</v>
      </c>
      <c r="D81" s="104" t="s">
        <v>8</v>
      </c>
      <c r="E81" s="67"/>
      <c r="F81" s="68"/>
      <c r="G81" s="66" t="s">
        <v>6</v>
      </c>
      <c r="H81" s="66"/>
      <c r="I81" s="122"/>
      <c r="J81" s="68"/>
      <c r="K81" s="66" t="s">
        <v>6</v>
      </c>
      <c r="L81" s="66"/>
      <c r="M81" s="143" t="s">
        <v>1848</v>
      </c>
      <c r="N81" s="144" t="s">
        <v>6</v>
      </c>
      <c r="O81" s="6" t="s">
        <v>9</v>
      </c>
      <c r="P81" s="5" t="s">
        <v>231</v>
      </c>
      <c r="Q81" s="5" t="s">
        <v>0</v>
      </c>
      <c r="R81" s="7" t="s">
        <v>232</v>
      </c>
    </row>
    <row r="82" spans="1:18" ht="15.75" hidden="1" customHeight="1">
      <c r="A82" s="196" t="str">
        <f>HYPERLINK("http://sipi.sic.gov.co/sipi/View.ashx?4044516","SD2022/0017300")</f>
        <v>SD2022/0017300</v>
      </c>
      <c r="B82" s="8" t="s">
        <v>233</v>
      </c>
      <c r="C82" s="57" t="s">
        <v>7</v>
      </c>
      <c r="D82" s="104" t="s">
        <v>8</v>
      </c>
      <c r="E82" s="67"/>
      <c r="F82" s="68"/>
      <c r="G82" s="66" t="s">
        <v>6</v>
      </c>
      <c r="H82" s="66"/>
      <c r="I82" s="122"/>
      <c r="J82" s="68"/>
      <c r="K82" s="66" t="s">
        <v>6</v>
      </c>
      <c r="L82" s="66"/>
      <c r="M82" s="143" t="s">
        <v>1848</v>
      </c>
      <c r="N82" s="144" t="s">
        <v>6</v>
      </c>
      <c r="O82" s="6" t="s">
        <v>19</v>
      </c>
      <c r="P82" s="5" t="s">
        <v>231</v>
      </c>
      <c r="Q82" s="5" t="s">
        <v>0</v>
      </c>
      <c r="R82" s="7" t="s">
        <v>232</v>
      </c>
    </row>
    <row r="83" spans="1:18" ht="15.75" hidden="1" customHeight="1">
      <c r="A83" s="196" t="str">
        <f>HYPERLINK("http://sipi.sic.gov.co/sipi/View.ashx?4044886","SD2022/0017399")</f>
        <v>SD2022/0017399</v>
      </c>
      <c r="B83" s="8" t="s">
        <v>234</v>
      </c>
      <c r="C83" s="57" t="s">
        <v>7</v>
      </c>
      <c r="D83" s="104" t="s">
        <v>8</v>
      </c>
      <c r="E83" s="67"/>
      <c r="F83" s="68"/>
      <c r="G83" s="66" t="s">
        <v>6</v>
      </c>
      <c r="H83" s="66"/>
      <c r="I83" s="122"/>
      <c r="J83" s="68"/>
      <c r="K83" s="66" t="s">
        <v>6</v>
      </c>
      <c r="L83" s="66"/>
      <c r="M83" s="143" t="s">
        <v>1848</v>
      </c>
      <c r="N83" s="144" t="s">
        <v>6</v>
      </c>
      <c r="O83" s="6" t="s">
        <v>9</v>
      </c>
      <c r="P83" s="5" t="s">
        <v>235</v>
      </c>
      <c r="Q83" s="5" t="s">
        <v>0</v>
      </c>
      <c r="R83" s="7" t="s">
        <v>236</v>
      </c>
    </row>
    <row r="84" spans="1:18" ht="15.75" hidden="1" customHeight="1">
      <c r="A84" s="196" t="str">
        <f>HYPERLINK("http://sipi.sic.gov.co/sipi/View.ashx?4047139","SD2022/0017909")</f>
        <v>SD2022/0017909</v>
      </c>
      <c r="B84" s="8" t="s">
        <v>237</v>
      </c>
      <c r="C84" s="57" t="s">
        <v>13</v>
      </c>
      <c r="D84" s="104" t="s">
        <v>8</v>
      </c>
      <c r="E84" s="67"/>
      <c r="F84" s="68"/>
      <c r="G84" s="66" t="s">
        <v>6</v>
      </c>
      <c r="H84" s="66"/>
      <c r="I84" s="122"/>
      <c r="J84" s="68"/>
      <c r="K84" s="66" t="s">
        <v>6</v>
      </c>
      <c r="L84" s="66"/>
      <c r="M84" s="143" t="s">
        <v>1848</v>
      </c>
      <c r="N84" s="144" t="s">
        <v>6</v>
      </c>
      <c r="O84" s="6" t="s">
        <v>9</v>
      </c>
      <c r="P84" s="5" t="s">
        <v>238</v>
      </c>
      <c r="Q84" s="5" t="s">
        <v>0</v>
      </c>
      <c r="R84" s="7" t="s">
        <v>239</v>
      </c>
    </row>
    <row r="85" spans="1:18" ht="15.75" hidden="1" customHeight="1">
      <c r="A85" s="196" t="str">
        <f>HYPERLINK("http://sipi.sic.gov.co/sipi/View.ashx?4048502","SD2022/0018228")</f>
        <v>SD2022/0018228</v>
      </c>
      <c r="B85" s="8" t="s">
        <v>240</v>
      </c>
      <c r="C85" s="57" t="s">
        <v>7</v>
      </c>
      <c r="D85" s="104" t="s">
        <v>8</v>
      </c>
      <c r="E85" s="67"/>
      <c r="F85" s="68"/>
      <c r="G85" s="66" t="s">
        <v>6</v>
      </c>
      <c r="H85" s="66"/>
      <c r="I85" s="122"/>
      <c r="J85" s="68"/>
      <c r="K85" s="66" t="s">
        <v>6</v>
      </c>
      <c r="L85" s="66"/>
      <c r="M85" s="143" t="s">
        <v>1848</v>
      </c>
      <c r="N85" s="144" t="s">
        <v>6</v>
      </c>
      <c r="O85" s="6" t="s">
        <v>19</v>
      </c>
      <c r="P85" s="5" t="s">
        <v>241</v>
      </c>
      <c r="Q85" s="5" t="s">
        <v>0</v>
      </c>
      <c r="R85" s="7" t="s">
        <v>242</v>
      </c>
    </row>
    <row r="86" spans="1:18" ht="15.75" hidden="1" customHeight="1">
      <c r="A86" s="196" t="str">
        <f>HYPERLINK("http://sipi.sic.gov.co/sipi/View.ashx?4050580","SD2022/0018581")</f>
        <v>SD2022/0018581</v>
      </c>
      <c r="B86" s="8" t="s">
        <v>243</v>
      </c>
      <c r="C86" s="57" t="s">
        <v>7</v>
      </c>
      <c r="D86" s="104" t="s">
        <v>8</v>
      </c>
      <c r="E86" s="67"/>
      <c r="F86" s="68"/>
      <c r="G86" s="66" t="s">
        <v>6</v>
      </c>
      <c r="H86" s="66"/>
      <c r="I86" s="122"/>
      <c r="J86" s="68"/>
      <c r="K86" s="66" t="s">
        <v>6</v>
      </c>
      <c r="L86" s="66"/>
      <c r="M86" s="143" t="s">
        <v>1848</v>
      </c>
      <c r="N86" s="144" t="s">
        <v>6</v>
      </c>
      <c r="O86" s="6" t="s">
        <v>19</v>
      </c>
      <c r="P86" s="5" t="s">
        <v>244</v>
      </c>
      <c r="Q86" s="5" t="s">
        <v>0</v>
      </c>
      <c r="R86" s="7" t="s">
        <v>245</v>
      </c>
    </row>
    <row r="87" spans="1:18" ht="60" hidden="1" customHeight="1">
      <c r="A87" s="196" t="str">
        <f>HYPERLINK("http://sipi.sic.gov.co/sipi/View.ashx?4051449","SD2022/0018812")</f>
        <v>SD2022/0018812</v>
      </c>
      <c r="B87" s="8" t="s">
        <v>246</v>
      </c>
      <c r="C87" s="57" t="s">
        <v>7</v>
      </c>
      <c r="D87" s="104" t="s">
        <v>17</v>
      </c>
      <c r="E87" s="69" t="s">
        <v>247</v>
      </c>
      <c r="F87" s="68" t="s">
        <v>1715</v>
      </c>
      <c r="G87" s="66" t="s">
        <v>1848</v>
      </c>
      <c r="H87" s="66" t="s">
        <v>9</v>
      </c>
      <c r="I87" s="122"/>
      <c r="J87" s="68"/>
      <c r="K87" s="66" t="s">
        <v>6</v>
      </c>
      <c r="L87" s="66"/>
      <c r="M87" s="143" t="s">
        <v>1848</v>
      </c>
      <c r="N87" s="144" t="s">
        <v>6</v>
      </c>
      <c r="O87" s="6" t="s">
        <v>19</v>
      </c>
      <c r="P87" s="5" t="s">
        <v>248</v>
      </c>
      <c r="Q87" s="5" t="s">
        <v>249</v>
      </c>
      <c r="R87" s="7" t="s">
        <v>250</v>
      </c>
    </row>
    <row r="88" spans="1:18" ht="15.75" hidden="1" customHeight="1">
      <c r="A88" s="196" t="str">
        <f>HYPERLINK("http://sipi.sic.gov.co/sipi/View.ashx?4053050","SD2022/0019181")</f>
        <v>SD2022/0019181</v>
      </c>
      <c r="B88" s="8" t="s">
        <v>251</v>
      </c>
      <c r="C88" s="57" t="s">
        <v>7</v>
      </c>
      <c r="D88" s="104" t="s">
        <v>8</v>
      </c>
      <c r="E88" s="67"/>
      <c r="F88" s="68"/>
      <c r="G88" s="66" t="s">
        <v>6</v>
      </c>
      <c r="H88" s="66"/>
      <c r="I88" s="122"/>
      <c r="J88" s="68"/>
      <c r="K88" s="66" t="s">
        <v>6</v>
      </c>
      <c r="L88" s="66"/>
      <c r="M88" s="143" t="s">
        <v>1848</v>
      </c>
      <c r="N88" s="144" t="s">
        <v>6</v>
      </c>
      <c r="O88" s="6" t="s">
        <v>9</v>
      </c>
      <c r="P88" s="5" t="s">
        <v>252</v>
      </c>
      <c r="Q88" s="5" t="s">
        <v>0</v>
      </c>
      <c r="R88" s="7" t="s">
        <v>253</v>
      </c>
    </row>
    <row r="89" spans="1:18" ht="15.75" hidden="1" customHeight="1">
      <c r="A89" s="196" t="str">
        <f>HYPERLINK("http://sipi.sic.gov.co/sipi/View.ashx?4053099","SD2022/0019189")</f>
        <v>SD2022/0019189</v>
      </c>
      <c r="B89" s="8" t="s">
        <v>254</v>
      </c>
      <c r="C89" s="57" t="s">
        <v>7</v>
      </c>
      <c r="D89" s="104" t="s">
        <v>17</v>
      </c>
      <c r="E89" s="223" t="s">
        <v>206</v>
      </c>
      <c r="F89" s="171" t="s">
        <v>1823</v>
      </c>
      <c r="G89" s="66" t="s">
        <v>1848</v>
      </c>
      <c r="H89" s="66" t="s">
        <v>9</v>
      </c>
      <c r="I89" s="122"/>
      <c r="J89" s="68"/>
      <c r="K89" s="66" t="s">
        <v>6</v>
      </c>
      <c r="L89" s="66"/>
      <c r="M89" s="143" t="s">
        <v>1848</v>
      </c>
      <c r="N89" s="144" t="s">
        <v>6</v>
      </c>
      <c r="O89" s="6" t="s">
        <v>19</v>
      </c>
      <c r="P89" s="5" t="s">
        <v>252</v>
      </c>
      <c r="Q89" s="5" t="s">
        <v>0</v>
      </c>
      <c r="R89" s="7" t="s">
        <v>52</v>
      </c>
    </row>
    <row r="90" spans="1:18" ht="15.75" hidden="1" customHeight="1">
      <c r="A90" s="196" t="str">
        <f>HYPERLINK("http://sipi.sic.gov.co/sipi/View.ashx?4053308","SD2022/0019573")</f>
        <v>SD2022/0019573</v>
      </c>
      <c r="B90" s="8" t="s">
        <v>255</v>
      </c>
      <c r="C90" s="57" t="s">
        <v>7</v>
      </c>
      <c r="D90" s="104" t="s">
        <v>8</v>
      </c>
      <c r="E90" s="67"/>
      <c r="F90" s="68"/>
      <c r="G90" s="66" t="s">
        <v>6</v>
      </c>
      <c r="H90" s="66"/>
      <c r="I90" s="122"/>
      <c r="J90" s="68"/>
      <c r="K90" s="66" t="s">
        <v>6</v>
      </c>
      <c r="L90" s="66"/>
      <c r="M90" s="143" t="s">
        <v>1848</v>
      </c>
      <c r="N90" s="144" t="s">
        <v>6</v>
      </c>
      <c r="O90" s="6" t="s">
        <v>19</v>
      </c>
      <c r="P90" s="5" t="s">
        <v>256</v>
      </c>
      <c r="Q90" s="5" t="s">
        <v>0</v>
      </c>
      <c r="R90" s="7" t="s">
        <v>257</v>
      </c>
    </row>
    <row r="91" spans="1:18" ht="15.75" hidden="1" customHeight="1">
      <c r="A91" s="196" t="str">
        <f>HYPERLINK("http://sipi.sic.gov.co/sipi/View.ashx?4053457","SD2022/0019621")</f>
        <v>SD2022/0019621</v>
      </c>
      <c r="B91" s="8" t="s">
        <v>258</v>
      </c>
      <c r="C91" s="57" t="s">
        <v>7</v>
      </c>
      <c r="D91" s="104" t="s">
        <v>8</v>
      </c>
      <c r="E91" s="67"/>
      <c r="F91" s="68"/>
      <c r="G91" s="66" t="s">
        <v>6</v>
      </c>
      <c r="H91" s="66"/>
      <c r="I91" s="122"/>
      <c r="J91" s="68"/>
      <c r="K91" s="66" t="s">
        <v>6</v>
      </c>
      <c r="L91" s="66"/>
      <c r="M91" s="143" t="s">
        <v>1848</v>
      </c>
      <c r="N91" s="144" t="s">
        <v>6</v>
      </c>
      <c r="O91" s="6" t="s">
        <v>9</v>
      </c>
      <c r="P91" s="5" t="s">
        <v>259</v>
      </c>
      <c r="Q91" s="5" t="s">
        <v>0</v>
      </c>
      <c r="R91" s="7" t="s">
        <v>260</v>
      </c>
    </row>
    <row r="92" spans="1:18" ht="15.75" hidden="1" customHeight="1">
      <c r="A92" s="196" t="str">
        <f>HYPERLINK("http://sipi.sic.gov.co/sipi/View.ashx?4054279","SD2022/0019670")</f>
        <v>SD2022/0019670</v>
      </c>
      <c r="B92" s="8" t="s">
        <v>261</v>
      </c>
      <c r="C92" s="57" t="s">
        <v>7</v>
      </c>
      <c r="D92" s="104" t="s">
        <v>8</v>
      </c>
      <c r="E92" s="67"/>
      <c r="F92" s="68"/>
      <c r="G92" s="66" t="s">
        <v>6</v>
      </c>
      <c r="H92" s="66"/>
      <c r="I92" s="122"/>
      <c r="J92" s="68"/>
      <c r="K92" s="66" t="s">
        <v>6</v>
      </c>
      <c r="L92" s="66"/>
      <c r="M92" s="143" t="s">
        <v>1848</v>
      </c>
      <c r="N92" s="144" t="s">
        <v>6</v>
      </c>
      <c r="O92" s="6" t="s">
        <v>9</v>
      </c>
      <c r="P92" s="5" t="s">
        <v>259</v>
      </c>
      <c r="Q92" s="5" t="s">
        <v>0</v>
      </c>
      <c r="R92" s="7" t="s">
        <v>260</v>
      </c>
    </row>
    <row r="93" spans="1:18" ht="15.75" hidden="1" customHeight="1">
      <c r="A93" s="196" t="str">
        <f>HYPERLINK("http://sipi.sic.gov.co/sipi/View.ashx?4055141","SD2022/0019625")</f>
        <v>SD2022/0019625</v>
      </c>
      <c r="B93" s="8" t="s">
        <v>262</v>
      </c>
      <c r="C93" s="57" t="s">
        <v>7</v>
      </c>
      <c r="D93" s="104" t="s">
        <v>8</v>
      </c>
      <c r="E93" s="67"/>
      <c r="F93" s="68"/>
      <c r="G93" s="66" t="s">
        <v>6</v>
      </c>
      <c r="H93" s="66"/>
      <c r="I93" s="122"/>
      <c r="J93" s="68"/>
      <c r="K93" s="66" t="s">
        <v>6</v>
      </c>
      <c r="L93" s="66"/>
      <c r="M93" s="143" t="s">
        <v>1848</v>
      </c>
      <c r="N93" s="144" t="s">
        <v>6</v>
      </c>
      <c r="O93" s="6" t="s">
        <v>9</v>
      </c>
      <c r="P93" s="5" t="s">
        <v>259</v>
      </c>
      <c r="Q93" s="5" t="s">
        <v>0</v>
      </c>
      <c r="R93" s="7" t="s">
        <v>260</v>
      </c>
    </row>
    <row r="94" spans="1:18" ht="15.75" hidden="1" customHeight="1">
      <c r="A94" s="197" t="str">
        <f>HYPERLINK("http://sipi.sic.gov.co/sipi/View.ashx?4060616","SD2022/0021577")</f>
        <v>SD2022/0021577</v>
      </c>
      <c r="B94" s="156" t="s">
        <v>263</v>
      </c>
      <c r="C94" s="159" t="s">
        <v>13</v>
      </c>
      <c r="D94" s="160" t="s">
        <v>17</v>
      </c>
      <c r="E94" s="157" t="s">
        <v>264</v>
      </c>
      <c r="F94" s="161" t="s">
        <v>1716</v>
      </c>
      <c r="G94" s="66" t="s">
        <v>1851</v>
      </c>
      <c r="H94" s="66" t="s">
        <v>19</v>
      </c>
      <c r="I94" s="122"/>
      <c r="J94" s="68"/>
      <c r="K94" s="66"/>
      <c r="L94" s="66"/>
      <c r="M94" s="143" t="s">
        <v>6</v>
      </c>
      <c r="N94" s="144" t="s">
        <v>6</v>
      </c>
      <c r="O94" s="6"/>
      <c r="P94" s="5"/>
      <c r="Q94" s="5"/>
      <c r="R94" s="7"/>
    </row>
    <row r="95" spans="1:18" ht="15.75" hidden="1" customHeight="1">
      <c r="A95" s="201"/>
      <c r="B95" s="156" t="s">
        <v>263</v>
      </c>
      <c r="C95" s="159" t="s">
        <v>13</v>
      </c>
      <c r="D95" s="160" t="s">
        <v>17</v>
      </c>
      <c r="E95" s="157" t="s">
        <v>264</v>
      </c>
      <c r="F95" s="161" t="s">
        <v>1716</v>
      </c>
      <c r="G95" s="66" t="s">
        <v>1848</v>
      </c>
      <c r="H95" s="66" t="s">
        <v>19</v>
      </c>
      <c r="I95" s="122"/>
      <c r="J95" s="68"/>
      <c r="K95" s="66"/>
      <c r="L95" s="66"/>
      <c r="M95" s="143" t="s">
        <v>6</v>
      </c>
      <c r="N95" s="144" t="s">
        <v>6</v>
      </c>
      <c r="O95" s="6"/>
      <c r="P95" s="5"/>
      <c r="Q95" s="5"/>
      <c r="R95" s="7"/>
    </row>
    <row r="96" spans="1:18" ht="15.75" hidden="1" customHeight="1">
      <c r="A96" s="198"/>
      <c r="B96" s="156" t="s">
        <v>263</v>
      </c>
      <c r="C96" s="159" t="s">
        <v>13</v>
      </c>
      <c r="D96" s="160" t="s">
        <v>17</v>
      </c>
      <c r="E96" s="157" t="s">
        <v>264</v>
      </c>
      <c r="F96" s="161" t="s">
        <v>1716</v>
      </c>
      <c r="G96" s="66" t="s">
        <v>1849</v>
      </c>
      <c r="H96" s="66" t="s">
        <v>19</v>
      </c>
      <c r="I96" s="124"/>
      <c r="J96" s="68"/>
      <c r="M96" s="143" t="s">
        <v>1848</v>
      </c>
      <c r="N96" s="144" t="s">
        <v>6</v>
      </c>
      <c r="O96" s="6" t="s">
        <v>19</v>
      </c>
      <c r="P96" s="5" t="s">
        <v>265</v>
      </c>
      <c r="Q96" s="5" t="s">
        <v>0</v>
      </c>
      <c r="R96" s="7" t="s">
        <v>11</v>
      </c>
    </row>
    <row r="97" spans="1:18" ht="15.75" customHeight="1">
      <c r="A97" s="197" t="str">
        <f>HYPERLINK("http://sipi.sic.gov.co/sipi/View.ashx?4061245","SD2022/0021400")</f>
        <v>SD2022/0021400</v>
      </c>
      <c r="B97" s="156" t="s">
        <v>266</v>
      </c>
      <c r="C97" s="159" t="s">
        <v>13</v>
      </c>
      <c r="D97" s="160" t="s">
        <v>17</v>
      </c>
      <c r="E97" s="157" t="s">
        <v>267</v>
      </c>
      <c r="F97" s="161" t="s">
        <v>1722</v>
      </c>
      <c r="G97" s="66" t="s">
        <v>1856</v>
      </c>
      <c r="H97" s="66" t="s">
        <v>9</v>
      </c>
      <c r="I97" s="227" t="s">
        <v>206</v>
      </c>
      <c r="J97" s="141" t="s">
        <v>1823</v>
      </c>
      <c r="K97" s="230" t="s">
        <v>1856</v>
      </c>
      <c r="L97" s="77" t="s">
        <v>19</v>
      </c>
      <c r="M97" s="143" t="s">
        <v>6</v>
      </c>
      <c r="N97" s="144" t="s">
        <v>6</v>
      </c>
      <c r="O97" s="6"/>
      <c r="P97" s="5"/>
      <c r="Q97" s="5"/>
      <c r="R97" s="7"/>
    </row>
    <row r="98" spans="1:18" ht="15.75" customHeight="1">
      <c r="A98" s="198"/>
      <c r="B98" s="156" t="s">
        <v>266</v>
      </c>
      <c r="C98" s="159" t="s">
        <v>13</v>
      </c>
      <c r="D98" s="160" t="s">
        <v>17</v>
      </c>
      <c r="E98" s="157" t="s">
        <v>267</v>
      </c>
      <c r="F98" s="161" t="s">
        <v>1722</v>
      </c>
      <c r="G98" s="66" t="s">
        <v>1848</v>
      </c>
      <c r="H98" s="66" t="s">
        <v>9</v>
      </c>
      <c r="I98" s="227" t="s">
        <v>206</v>
      </c>
      <c r="J98" s="141" t="s">
        <v>1823</v>
      </c>
      <c r="K98" s="230" t="s">
        <v>1848</v>
      </c>
      <c r="L98" s="77" t="s">
        <v>19</v>
      </c>
      <c r="M98" s="143" t="s">
        <v>1848</v>
      </c>
      <c r="N98" s="144" t="s">
        <v>1856</v>
      </c>
      <c r="O98" s="6" t="s">
        <v>19</v>
      </c>
      <c r="P98" s="5" t="s">
        <v>268</v>
      </c>
      <c r="Q98" s="5" t="s">
        <v>0</v>
      </c>
      <c r="R98" s="7" t="s">
        <v>269</v>
      </c>
    </row>
    <row r="99" spans="1:18" ht="27" hidden="1" customHeight="1">
      <c r="A99" s="196" t="str">
        <f>HYPERLINK("http://sipi.sic.gov.co/sipi/View.ashx?4063175","SD2022/0021957")</f>
        <v>SD2022/0021957</v>
      </c>
      <c r="B99" s="8" t="s">
        <v>270</v>
      </c>
      <c r="C99" s="57" t="s">
        <v>13</v>
      </c>
      <c r="D99" s="104" t="s">
        <v>17</v>
      </c>
      <c r="E99" s="69" t="s">
        <v>271</v>
      </c>
      <c r="F99" s="68" t="s">
        <v>1723</v>
      </c>
      <c r="G99" s="66" t="s">
        <v>1848</v>
      </c>
      <c r="H99" s="66" t="s">
        <v>9</v>
      </c>
      <c r="I99" s="122"/>
      <c r="J99" s="68"/>
      <c r="K99" s="66" t="s">
        <v>6</v>
      </c>
      <c r="L99" s="66"/>
      <c r="M99" s="143" t="s">
        <v>1848</v>
      </c>
      <c r="N99" s="144" t="s">
        <v>6</v>
      </c>
      <c r="O99" s="6" t="s">
        <v>9</v>
      </c>
      <c r="P99" s="5" t="s">
        <v>272</v>
      </c>
      <c r="Q99" s="5" t="s">
        <v>0</v>
      </c>
      <c r="R99" s="7" t="s">
        <v>52</v>
      </c>
    </row>
    <row r="100" spans="1:18" ht="15.75" hidden="1" customHeight="1">
      <c r="A100" s="196" t="str">
        <f>HYPERLINK("http://sipi.sic.gov.co/sipi/View.ashx?4064656","SD2022/0022117")</f>
        <v>SD2022/0022117</v>
      </c>
      <c r="B100" s="8" t="s">
        <v>273</v>
      </c>
      <c r="C100" s="57" t="s">
        <v>7</v>
      </c>
      <c r="D100" s="104" t="s">
        <v>8</v>
      </c>
      <c r="E100" s="67"/>
      <c r="F100" s="68"/>
      <c r="G100" s="66" t="s">
        <v>6</v>
      </c>
      <c r="H100" s="66"/>
      <c r="I100" s="122"/>
      <c r="J100" s="68"/>
      <c r="K100" s="66" t="s">
        <v>6</v>
      </c>
      <c r="L100" s="66"/>
      <c r="M100" s="143" t="s">
        <v>1867</v>
      </c>
      <c r="N100" s="144" t="s">
        <v>6</v>
      </c>
      <c r="O100" s="6" t="s">
        <v>19</v>
      </c>
      <c r="P100" s="5" t="s">
        <v>274</v>
      </c>
      <c r="Q100" s="5" t="s">
        <v>0</v>
      </c>
      <c r="R100" s="7" t="s">
        <v>275</v>
      </c>
    </row>
    <row r="101" spans="1:18" ht="15.75" hidden="1" customHeight="1">
      <c r="A101" s="196" t="str">
        <f>HYPERLINK("http://sipi.sic.gov.co/sipi/View.ashx?4065654","SD2022/0022323")</f>
        <v>SD2022/0022323</v>
      </c>
      <c r="B101" s="8" t="s">
        <v>276</v>
      </c>
      <c r="C101" s="57" t="s">
        <v>13</v>
      </c>
      <c r="D101" s="104" t="s">
        <v>8</v>
      </c>
      <c r="E101" s="75"/>
      <c r="F101" s="68"/>
      <c r="G101" s="66" t="s">
        <v>6</v>
      </c>
      <c r="H101" s="66"/>
      <c r="I101" s="122"/>
      <c r="J101" s="68"/>
      <c r="K101" s="66" t="s">
        <v>6</v>
      </c>
      <c r="L101" s="66"/>
      <c r="M101" s="143" t="s">
        <v>1848</v>
      </c>
      <c r="N101" s="144" t="s">
        <v>6</v>
      </c>
      <c r="O101" s="6" t="s">
        <v>19</v>
      </c>
      <c r="P101" s="5" t="s">
        <v>277</v>
      </c>
      <c r="Q101" s="5" t="s">
        <v>278</v>
      </c>
      <c r="R101" s="7" t="s">
        <v>279</v>
      </c>
    </row>
    <row r="102" spans="1:18" ht="15.75" hidden="1" customHeight="1">
      <c r="A102" s="196" t="str">
        <f>HYPERLINK("http://sipi.sic.gov.co/sipi/View.ashx?4066797","SD2022/0022631")</f>
        <v>SD2022/0022631</v>
      </c>
      <c r="B102" s="8" t="s">
        <v>280</v>
      </c>
      <c r="C102" s="59" t="s">
        <v>7</v>
      </c>
      <c r="D102" s="104" t="s">
        <v>8</v>
      </c>
      <c r="E102" s="67"/>
      <c r="F102" s="68"/>
      <c r="G102" s="66" t="s">
        <v>6</v>
      </c>
      <c r="H102" s="66"/>
      <c r="I102" s="122"/>
      <c r="J102" s="68"/>
      <c r="K102" s="66" t="s">
        <v>6</v>
      </c>
      <c r="L102" s="66"/>
      <c r="M102" s="145" t="s">
        <v>1848</v>
      </c>
      <c r="N102" s="144" t="s">
        <v>6</v>
      </c>
      <c r="O102" s="13" t="s">
        <v>9</v>
      </c>
      <c r="P102" s="5" t="s">
        <v>281</v>
      </c>
      <c r="Q102" s="5" t="s">
        <v>0</v>
      </c>
      <c r="R102" s="7" t="s">
        <v>282</v>
      </c>
    </row>
    <row r="103" spans="1:18" ht="37.200000000000003" hidden="1" customHeight="1">
      <c r="A103" s="197" t="str">
        <f>HYPERLINK("http://sipi.sic.gov.co/sipi/View.ashx?4068121","SD2022/0022888")</f>
        <v>SD2022/0022888</v>
      </c>
      <c r="B103" s="156" t="s">
        <v>283</v>
      </c>
      <c r="C103" s="174" t="s">
        <v>13</v>
      </c>
      <c r="D103" s="160" t="s">
        <v>17</v>
      </c>
      <c r="E103" s="157" t="s">
        <v>267</v>
      </c>
      <c r="F103" s="161" t="s">
        <v>1722</v>
      </c>
      <c r="G103" s="66" t="s">
        <v>1856</v>
      </c>
      <c r="H103" s="76" t="s">
        <v>9</v>
      </c>
      <c r="I103" s="122"/>
      <c r="J103" s="68"/>
      <c r="K103" s="66"/>
      <c r="L103" s="66"/>
      <c r="M103" s="145" t="s">
        <v>6</v>
      </c>
      <c r="N103" s="144" t="s">
        <v>6</v>
      </c>
      <c r="O103" s="13"/>
      <c r="P103" s="5"/>
      <c r="Q103" s="5"/>
      <c r="R103" s="7"/>
    </row>
    <row r="104" spans="1:18" ht="49.8" hidden="1" customHeight="1">
      <c r="A104" s="198"/>
      <c r="B104" s="156" t="s">
        <v>283</v>
      </c>
      <c r="C104" s="174" t="s">
        <v>13</v>
      </c>
      <c r="D104" s="160" t="s">
        <v>17</v>
      </c>
      <c r="E104" s="157" t="s">
        <v>267</v>
      </c>
      <c r="F104" s="161" t="s">
        <v>1722</v>
      </c>
      <c r="G104" s="66" t="s">
        <v>1848</v>
      </c>
      <c r="H104" s="76" t="s">
        <v>9</v>
      </c>
      <c r="I104" s="124"/>
      <c r="J104" s="68"/>
      <c r="M104" s="145" t="s">
        <v>1848</v>
      </c>
      <c r="N104" s="144" t="s">
        <v>1856</v>
      </c>
      <c r="O104" s="13" t="s">
        <v>19</v>
      </c>
      <c r="P104" s="5" t="s">
        <v>268</v>
      </c>
      <c r="Q104" s="5" t="s">
        <v>0</v>
      </c>
      <c r="R104" s="7" t="s">
        <v>284</v>
      </c>
    </row>
    <row r="105" spans="1:18" ht="31.2" customHeight="1">
      <c r="A105" s="197" t="str">
        <f>HYPERLINK("http://sipi.sic.gov.co/sipi/View.ashx?4068734","SD2022/0023110")</f>
        <v>SD2022/0023110</v>
      </c>
      <c r="B105" s="156" t="s">
        <v>285</v>
      </c>
      <c r="C105" s="174" t="s">
        <v>13</v>
      </c>
      <c r="D105" s="160" t="s">
        <v>17</v>
      </c>
      <c r="E105" s="69" t="s">
        <v>145</v>
      </c>
      <c r="F105" s="161" t="s">
        <v>1711</v>
      </c>
      <c r="G105" s="175" t="s">
        <v>1848</v>
      </c>
      <c r="H105" s="216" t="s">
        <v>19</v>
      </c>
      <c r="I105" s="176" t="s">
        <v>286</v>
      </c>
      <c r="J105" s="161" t="s">
        <v>1824</v>
      </c>
      <c r="K105" s="139" t="s">
        <v>1848</v>
      </c>
      <c r="L105" s="139" t="s">
        <v>1862</v>
      </c>
      <c r="M105" s="145" t="s">
        <v>6</v>
      </c>
      <c r="N105" s="144" t="s">
        <v>6</v>
      </c>
      <c r="O105" s="13"/>
      <c r="P105" s="5"/>
      <c r="Q105" s="5"/>
      <c r="R105" s="7"/>
    </row>
    <row r="106" spans="1:18" ht="22.2" customHeight="1">
      <c r="A106" s="198"/>
      <c r="B106" s="156" t="s">
        <v>285</v>
      </c>
      <c r="C106" s="174" t="s">
        <v>13</v>
      </c>
      <c r="D106" s="160"/>
      <c r="E106" s="69"/>
      <c r="F106" s="161"/>
      <c r="G106" s="177"/>
      <c r="H106" s="217"/>
      <c r="I106" s="176" t="s">
        <v>286</v>
      </c>
      <c r="J106" s="161" t="s">
        <v>1824</v>
      </c>
      <c r="K106" s="66" t="s">
        <v>1849</v>
      </c>
      <c r="L106" s="77" t="s">
        <v>19</v>
      </c>
      <c r="M106" s="145" t="s">
        <v>1848</v>
      </c>
      <c r="N106" s="144" t="s">
        <v>6</v>
      </c>
      <c r="O106" s="13" t="s">
        <v>9</v>
      </c>
      <c r="P106" s="5" t="s">
        <v>287</v>
      </c>
      <c r="Q106" s="5" t="s">
        <v>288</v>
      </c>
      <c r="R106" s="7" t="s">
        <v>289</v>
      </c>
    </row>
    <row r="107" spans="1:18" ht="15.75" hidden="1" customHeight="1">
      <c r="A107" s="196" t="str">
        <f>HYPERLINK("http://sipi.sic.gov.co/sipi/View.ashx?4068775","SD2022/0023121")</f>
        <v>SD2022/0023121</v>
      </c>
      <c r="B107" s="8" t="s">
        <v>290</v>
      </c>
      <c r="C107" s="59" t="s">
        <v>7</v>
      </c>
      <c r="D107" s="104" t="s">
        <v>8</v>
      </c>
      <c r="E107" s="67"/>
      <c r="F107" s="68"/>
      <c r="G107" s="66" t="s">
        <v>6</v>
      </c>
      <c r="H107" s="66"/>
      <c r="I107" s="122"/>
      <c r="J107" s="68"/>
      <c r="K107" s="66" t="s">
        <v>6</v>
      </c>
      <c r="L107" s="66"/>
      <c r="M107" s="145" t="s">
        <v>1859</v>
      </c>
      <c r="N107" s="144" t="s">
        <v>6</v>
      </c>
      <c r="O107" s="13" t="s">
        <v>19</v>
      </c>
      <c r="P107" s="5" t="s">
        <v>291</v>
      </c>
      <c r="Q107" s="5" t="s">
        <v>23</v>
      </c>
      <c r="R107" s="7" t="s">
        <v>292</v>
      </c>
    </row>
    <row r="108" spans="1:18" ht="15.75" hidden="1" customHeight="1">
      <c r="A108" s="196" t="str">
        <f>HYPERLINK("http://sipi.sic.gov.co/sipi/View.ashx?4070234","SD2022/0023500")</f>
        <v>SD2022/0023500</v>
      </c>
      <c r="B108" s="8" t="s">
        <v>293</v>
      </c>
      <c r="C108" s="59" t="s">
        <v>13</v>
      </c>
      <c r="D108" s="104" t="s">
        <v>8</v>
      </c>
      <c r="E108" s="67"/>
      <c r="F108" s="68"/>
      <c r="G108" s="66" t="s">
        <v>6</v>
      </c>
      <c r="H108" s="66"/>
      <c r="I108" s="122"/>
      <c r="J108" s="68"/>
      <c r="K108" s="66" t="s">
        <v>6</v>
      </c>
      <c r="L108" s="66"/>
      <c r="M108" s="145" t="s">
        <v>1848</v>
      </c>
      <c r="N108" s="144" t="s">
        <v>6</v>
      </c>
      <c r="O108" s="13" t="s">
        <v>9</v>
      </c>
      <c r="P108" s="5" t="s">
        <v>294</v>
      </c>
      <c r="Q108" s="5" t="s">
        <v>0</v>
      </c>
      <c r="R108" s="7" t="s">
        <v>295</v>
      </c>
    </row>
    <row r="109" spans="1:18" ht="15.75" hidden="1" customHeight="1">
      <c r="A109" s="196" t="str">
        <f>HYPERLINK("http://sipi.sic.gov.co/sipi/View.ashx?4073395","SD2022/0024318")</f>
        <v>SD2022/0024318</v>
      </c>
      <c r="B109" s="8" t="s">
        <v>296</v>
      </c>
      <c r="C109" s="59" t="s">
        <v>13</v>
      </c>
      <c r="D109" s="104" t="s">
        <v>8</v>
      </c>
      <c r="E109" s="67"/>
      <c r="F109" s="68"/>
      <c r="G109" s="66" t="s">
        <v>6</v>
      </c>
      <c r="H109" s="66"/>
      <c r="I109" s="122"/>
      <c r="J109" s="68"/>
      <c r="K109" s="66" t="s">
        <v>6</v>
      </c>
      <c r="L109" s="66"/>
      <c r="M109" s="145" t="s">
        <v>1848</v>
      </c>
      <c r="N109" s="144" t="s">
        <v>6</v>
      </c>
      <c r="O109" s="13" t="s">
        <v>9</v>
      </c>
      <c r="P109" s="5" t="s">
        <v>297</v>
      </c>
      <c r="Q109" s="5" t="s">
        <v>0</v>
      </c>
      <c r="R109" s="7" t="s">
        <v>298</v>
      </c>
    </row>
    <row r="110" spans="1:18" ht="115.5" hidden="1" customHeight="1">
      <c r="A110" s="196" t="str">
        <f>HYPERLINK("http://sipi.sic.gov.co/sipi/View.ashx?4076098","SD2022/0024963")</f>
        <v>SD2022/0024963</v>
      </c>
      <c r="B110" s="8" t="s">
        <v>299</v>
      </c>
      <c r="C110" s="59" t="s">
        <v>13</v>
      </c>
      <c r="D110" s="104" t="s">
        <v>8</v>
      </c>
      <c r="E110" s="67"/>
      <c r="F110" s="68"/>
      <c r="G110" s="66" t="s">
        <v>6</v>
      </c>
      <c r="H110" s="66"/>
      <c r="I110" s="122"/>
      <c r="J110" s="68"/>
      <c r="K110" s="66" t="s">
        <v>6</v>
      </c>
      <c r="L110" s="66"/>
      <c r="M110" s="145" t="s">
        <v>1848</v>
      </c>
      <c r="N110" s="144" t="s">
        <v>6</v>
      </c>
      <c r="O110" s="13" t="s">
        <v>19</v>
      </c>
      <c r="P110" s="5" t="s">
        <v>300</v>
      </c>
      <c r="Q110" s="5" t="s">
        <v>23</v>
      </c>
      <c r="R110" s="7" t="s">
        <v>301</v>
      </c>
    </row>
    <row r="111" spans="1:18" ht="15.75" hidden="1" customHeight="1">
      <c r="A111" s="196" t="str">
        <f>HYPERLINK("http://sipi.sic.gov.co/sipi/View.ashx?4078207","SD2022/0025248")</f>
        <v>SD2022/0025248</v>
      </c>
      <c r="B111" s="8" t="s">
        <v>302</v>
      </c>
      <c r="C111" s="59" t="s">
        <v>7</v>
      </c>
      <c r="D111" s="104" t="s">
        <v>8</v>
      </c>
      <c r="E111" s="67"/>
      <c r="F111" s="68"/>
      <c r="G111" s="66" t="s">
        <v>6</v>
      </c>
      <c r="H111" s="66"/>
      <c r="I111" s="122"/>
      <c r="J111" s="68"/>
      <c r="K111" s="66" t="s">
        <v>6</v>
      </c>
      <c r="L111" s="66"/>
      <c r="M111" s="145" t="s">
        <v>1848</v>
      </c>
      <c r="N111" s="144" t="s">
        <v>6</v>
      </c>
      <c r="O111" s="13" t="s">
        <v>19</v>
      </c>
      <c r="P111" s="5" t="s">
        <v>303</v>
      </c>
      <c r="Q111" s="5" t="s">
        <v>0</v>
      </c>
      <c r="R111" s="7" t="s">
        <v>11</v>
      </c>
    </row>
    <row r="112" spans="1:18" ht="15.75" hidden="1" customHeight="1">
      <c r="A112" s="197" t="str">
        <f>HYPERLINK("http://sipi.sic.gov.co/sipi/View.ashx?4080986","SD2022/0026026")</f>
        <v>SD2022/0026026</v>
      </c>
      <c r="B112" s="156" t="s">
        <v>304</v>
      </c>
      <c r="C112" s="174" t="s">
        <v>13</v>
      </c>
      <c r="D112" s="160" t="s">
        <v>17</v>
      </c>
      <c r="E112" s="221" t="s">
        <v>1445</v>
      </c>
      <c r="F112" s="161" t="s">
        <v>1748</v>
      </c>
      <c r="G112" s="66" t="s">
        <v>1848</v>
      </c>
      <c r="H112" s="76" t="s">
        <v>9</v>
      </c>
      <c r="I112" s="122"/>
      <c r="J112" s="68"/>
      <c r="K112" s="66"/>
      <c r="L112" s="66"/>
      <c r="M112" s="145" t="s">
        <v>6</v>
      </c>
      <c r="N112" s="144" t="s">
        <v>6</v>
      </c>
      <c r="O112" s="13"/>
      <c r="P112" s="5"/>
      <c r="Q112" s="5"/>
      <c r="R112" s="7"/>
    </row>
    <row r="113" spans="1:18" ht="30" hidden="1" customHeight="1">
      <c r="A113" s="198"/>
      <c r="B113" s="156" t="s">
        <v>304</v>
      </c>
      <c r="C113" s="174" t="s">
        <v>13</v>
      </c>
      <c r="D113" s="160" t="s">
        <v>17</v>
      </c>
      <c r="E113" s="221" t="s">
        <v>1445</v>
      </c>
      <c r="F113" s="161" t="s">
        <v>1748</v>
      </c>
      <c r="G113" s="66" t="s">
        <v>1849</v>
      </c>
      <c r="H113" s="77" t="s">
        <v>19</v>
      </c>
      <c r="I113" s="124"/>
      <c r="J113" s="68"/>
      <c r="M113" s="145" t="s">
        <v>1848</v>
      </c>
      <c r="N113" s="144" t="s">
        <v>6</v>
      </c>
      <c r="O113" s="13" t="s">
        <v>19</v>
      </c>
      <c r="P113" s="5" t="s">
        <v>305</v>
      </c>
      <c r="Q113" s="5" t="s">
        <v>0</v>
      </c>
      <c r="R113" s="7" t="s">
        <v>306</v>
      </c>
    </row>
    <row r="114" spans="1:18" ht="89.4" hidden="1" customHeight="1">
      <c r="A114" s="196" t="str">
        <f>HYPERLINK("http://sipi.sic.gov.co/sipi/View.ashx?4083146","SD2022/0026548")</f>
        <v>SD2022/0026548</v>
      </c>
      <c r="B114" s="8" t="s">
        <v>307</v>
      </c>
      <c r="C114" s="59" t="s">
        <v>13</v>
      </c>
      <c r="D114" s="104" t="s">
        <v>8</v>
      </c>
      <c r="E114" s="67"/>
      <c r="F114" s="68"/>
      <c r="G114" s="66" t="s">
        <v>6</v>
      </c>
      <c r="H114" s="66"/>
      <c r="I114" s="122"/>
      <c r="J114" s="68"/>
      <c r="K114" s="66" t="s">
        <v>6</v>
      </c>
      <c r="L114" s="66"/>
      <c r="M114" s="145" t="s">
        <v>1848</v>
      </c>
      <c r="N114" s="144" t="s">
        <v>6</v>
      </c>
      <c r="O114" s="13" t="s">
        <v>9</v>
      </c>
      <c r="P114" s="5" t="s">
        <v>308</v>
      </c>
      <c r="Q114" s="5" t="s">
        <v>139</v>
      </c>
      <c r="R114" s="7" t="s">
        <v>309</v>
      </c>
    </row>
    <row r="115" spans="1:18" ht="78.75" hidden="1" customHeight="1">
      <c r="A115" s="196" t="str">
        <f>HYPERLINK("http://sipi.sic.gov.co/sipi/View.ashx?4083431","SD2022/0026604")</f>
        <v>SD2022/0026604</v>
      </c>
      <c r="B115" s="8" t="s">
        <v>310</v>
      </c>
      <c r="C115" s="59" t="s">
        <v>13</v>
      </c>
      <c r="D115" s="104" t="s">
        <v>8</v>
      </c>
      <c r="E115" s="67"/>
      <c r="F115" s="68"/>
      <c r="G115" s="66" t="s">
        <v>6</v>
      </c>
      <c r="H115" s="66"/>
      <c r="I115" s="122"/>
      <c r="J115" s="68"/>
      <c r="K115" s="66" t="s">
        <v>6</v>
      </c>
      <c r="L115" s="66"/>
      <c r="M115" s="145" t="s">
        <v>1848</v>
      </c>
      <c r="N115" s="144" t="s">
        <v>6</v>
      </c>
      <c r="O115" s="13" t="s">
        <v>9</v>
      </c>
      <c r="P115" s="5" t="s">
        <v>311</v>
      </c>
      <c r="Q115" s="5" t="s">
        <v>0</v>
      </c>
      <c r="R115" s="7" t="s">
        <v>312</v>
      </c>
    </row>
    <row r="116" spans="1:18" ht="15.75" hidden="1" customHeight="1">
      <c r="A116" s="196" t="str">
        <f>HYPERLINK("http://sipi.sic.gov.co/sipi/View.ashx?4083434","SD2022/0026601")</f>
        <v>SD2022/0026601</v>
      </c>
      <c r="B116" s="8" t="s">
        <v>313</v>
      </c>
      <c r="C116" s="59" t="s">
        <v>13</v>
      </c>
      <c r="D116" s="104" t="s">
        <v>8</v>
      </c>
      <c r="E116" s="67"/>
      <c r="F116" s="68"/>
      <c r="G116" s="66" t="s">
        <v>6</v>
      </c>
      <c r="H116" s="66"/>
      <c r="I116" s="122"/>
      <c r="J116" s="68"/>
      <c r="K116" s="66" t="s">
        <v>6</v>
      </c>
      <c r="L116" s="66"/>
      <c r="M116" s="145" t="s">
        <v>1848</v>
      </c>
      <c r="N116" s="144" t="s">
        <v>6</v>
      </c>
      <c r="O116" s="13" t="s">
        <v>19</v>
      </c>
      <c r="P116" s="5" t="s">
        <v>314</v>
      </c>
      <c r="Q116" s="5" t="s">
        <v>0</v>
      </c>
      <c r="R116" s="7" t="s">
        <v>315</v>
      </c>
    </row>
    <row r="117" spans="1:18" ht="33.75" hidden="1" customHeight="1">
      <c r="A117" s="196" t="str">
        <f>HYPERLINK("http://sipi.sic.gov.co/sipi/View.ashx?4083785","SD2022/0026819")</f>
        <v>SD2022/0026819</v>
      </c>
      <c r="B117" s="8" t="s">
        <v>316</v>
      </c>
      <c r="C117" s="59" t="s">
        <v>13</v>
      </c>
      <c r="D117" s="104" t="s">
        <v>8</v>
      </c>
      <c r="E117" s="69"/>
      <c r="F117" s="68"/>
      <c r="G117" s="66" t="s">
        <v>6</v>
      </c>
      <c r="H117" s="77"/>
      <c r="I117" s="124"/>
      <c r="J117" s="68"/>
      <c r="K117" s="66" t="s">
        <v>6</v>
      </c>
      <c r="L117" s="76"/>
      <c r="M117" s="145" t="s">
        <v>1848</v>
      </c>
      <c r="N117" s="144" t="s">
        <v>6</v>
      </c>
      <c r="O117" s="13" t="s">
        <v>9</v>
      </c>
      <c r="P117" s="5" t="s">
        <v>317</v>
      </c>
      <c r="Q117" s="5" t="s">
        <v>318</v>
      </c>
      <c r="R117" s="7" t="s">
        <v>319</v>
      </c>
    </row>
    <row r="118" spans="1:18" ht="15.75" hidden="1" customHeight="1">
      <c r="A118" s="196" t="str">
        <f>HYPERLINK("http://sipi.sic.gov.co/sipi/View.ashx?4084117","SD2022/0026857")</f>
        <v>SD2022/0026857</v>
      </c>
      <c r="B118" s="8" t="s">
        <v>320</v>
      </c>
      <c r="C118" s="59" t="s">
        <v>7</v>
      </c>
      <c r="D118" s="104" t="s">
        <v>8</v>
      </c>
      <c r="E118" s="67"/>
      <c r="F118" s="68"/>
      <c r="G118" s="66" t="s">
        <v>6</v>
      </c>
      <c r="H118" s="66"/>
      <c r="I118" s="122"/>
      <c r="J118" s="68"/>
      <c r="K118" s="66" t="s">
        <v>6</v>
      </c>
      <c r="L118" s="66"/>
      <c r="M118" s="145" t="s">
        <v>1848</v>
      </c>
      <c r="N118" s="144" t="s">
        <v>6</v>
      </c>
      <c r="O118" s="13" t="s">
        <v>9</v>
      </c>
      <c r="P118" s="5" t="s">
        <v>321</v>
      </c>
      <c r="Q118" s="5" t="s">
        <v>0</v>
      </c>
      <c r="R118" s="7" t="s">
        <v>322</v>
      </c>
    </row>
    <row r="119" spans="1:18" ht="15.75" hidden="1" customHeight="1">
      <c r="A119" s="196" t="str">
        <f>HYPERLINK("http://sipi.sic.gov.co/sipi/View.ashx?4084143","SD2022/0026868")</f>
        <v>SD2022/0026868</v>
      </c>
      <c r="B119" s="8" t="s">
        <v>323</v>
      </c>
      <c r="C119" s="59" t="s">
        <v>7</v>
      </c>
      <c r="D119" s="104" t="s">
        <v>8</v>
      </c>
      <c r="E119" s="67"/>
      <c r="F119" s="68"/>
      <c r="G119" s="66" t="s">
        <v>6</v>
      </c>
      <c r="H119" s="66"/>
      <c r="I119" s="122"/>
      <c r="J119" s="68"/>
      <c r="K119" s="66" t="s">
        <v>6</v>
      </c>
      <c r="L119" s="66"/>
      <c r="M119" s="145" t="s">
        <v>1848</v>
      </c>
      <c r="N119" s="144" t="s">
        <v>6</v>
      </c>
      <c r="O119" s="13" t="s">
        <v>9</v>
      </c>
      <c r="P119" s="5" t="s">
        <v>321</v>
      </c>
      <c r="Q119" s="5" t="s">
        <v>0</v>
      </c>
      <c r="R119" s="7" t="s">
        <v>324</v>
      </c>
    </row>
    <row r="120" spans="1:18" ht="27" hidden="1" customHeight="1">
      <c r="A120" s="196" t="str">
        <f>HYPERLINK("http://sipi.sic.gov.co/sipi/View.ashx?4085937","SD2022/0028314")</f>
        <v>SD2022/0028314</v>
      </c>
      <c r="B120" s="8" t="s">
        <v>325</v>
      </c>
      <c r="C120" s="57" t="s">
        <v>13</v>
      </c>
      <c r="D120" s="104" t="s">
        <v>8</v>
      </c>
      <c r="E120" s="69"/>
      <c r="F120" s="68"/>
      <c r="G120" s="66" t="s">
        <v>6</v>
      </c>
      <c r="H120" s="66"/>
      <c r="I120" s="122"/>
      <c r="J120" s="68"/>
      <c r="K120" s="66" t="s">
        <v>6</v>
      </c>
      <c r="L120" s="66"/>
      <c r="M120" s="143" t="s">
        <v>1848</v>
      </c>
      <c r="N120" s="144" t="s">
        <v>6</v>
      </c>
      <c r="O120" s="6" t="s">
        <v>9</v>
      </c>
      <c r="P120" s="5" t="s">
        <v>326</v>
      </c>
      <c r="Q120" s="5" t="s">
        <v>23</v>
      </c>
      <c r="R120" s="7" t="s">
        <v>327</v>
      </c>
    </row>
    <row r="121" spans="1:18" ht="15.75" hidden="1" customHeight="1">
      <c r="A121" s="196" t="str">
        <f>HYPERLINK("http://sipi.sic.gov.co/sipi/View.ashx?4086726","SD2022/0027789")</f>
        <v>SD2022/0027789</v>
      </c>
      <c r="B121" s="8" t="s">
        <v>328</v>
      </c>
      <c r="C121" s="57" t="s">
        <v>7</v>
      </c>
      <c r="D121" s="104" t="s">
        <v>8</v>
      </c>
      <c r="E121" s="67"/>
      <c r="F121" s="68"/>
      <c r="G121" s="66" t="s">
        <v>6</v>
      </c>
      <c r="H121" s="66"/>
      <c r="I121" s="122"/>
      <c r="J121" s="68"/>
      <c r="K121" s="66" t="s">
        <v>6</v>
      </c>
      <c r="L121" s="66"/>
      <c r="M121" s="143" t="s">
        <v>1848</v>
      </c>
      <c r="N121" s="144" t="s">
        <v>6</v>
      </c>
      <c r="O121" s="6" t="s">
        <v>9</v>
      </c>
      <c r="P121" s="5" t="s">
        <v>252</v>
      </c>
      <c r="Q121" s="5" t="s">
        <v>0</v>
      </c>
      <c r="R121" s="7" t="s">
        <v>329</v>
      </c>
    </row>
    <row r="122" spans="1:18" ht="115.5" hidden="1" customHeight="1">
      <c r="A122" s="196" t="str">
        <f>HYPERLINK("http://sipi.sic.gov.co/sipi/View.ashx?4088689","SD2022/0028243")</f>
        <v>SD2022/0028243</v>
      </c>
      <c r="B122" s="8" t="s">
        <v>330</v>
      </c>
      <c r="C122" s="57" t="s">
        <v>13</v>
      </c>
      <c r="D122" s="104" t="s">
        <v>8</v>
      </c>
      <c r="E122" s="67"/>
      <c r="F122" s="68"/>
      <c r="G122" s="66" t="s">
        <v>6</v>
      </c>
      <c r="H122" s="66"/>
      <c r="I122" s="122"/>
      <c r="J122" s="68"/>
      <c r="K122" s="66" t="s">
        <v>6</v>
      </c>
      <c r="L122" s="66"/>
      <c r="M122" s="143" t="s">
        <v>1848</v>
      </c>
      <c r="N122" s="144" t="s">
        <v>6</v>
      </c>
      <c r="O122" s="6" t="s">
        <v>19</v>
      </c>
      <c r="P122" s="5" t="s">
        <v>331</v>
      </c>
      <c r="Q122" s="5" t="s">
        <v>0</v>
      </c>
      <c r="R122" s="7" t="s">
        <v>332</v>
      </c>
    </row>
    <row r="123" spans="1:18" ht="15.75" hidden="1" customHeight="1">
      <c r="A123" s="196" t="str">
        <f>HYPERLINK("http://sipi.sic.gov.co/sipi/View.ashx?4088825","SD2022/0028334")</f>
        <v>SD2022/0028334</v>
      </c>
      <c r="B123" s="8" t="s">
        <v>333</v>
      </c>
      <c r="C123" s="57" t="s">
        <v>7</v>
      </c>
      <c r="D123" s="104" t="s">
        <v>8</v>
      </c>
      <c r="E123" s="67"/>
      <c r="F123" s="68"/>
      <c r="G123" s="66" t="s">
        <v>6</v>
      </c>
      <c r="H123" s="66"/>
      <c r="I123" s="122"/>
      <c r="J123" s="68"/>
      <c r="K123" s="66" t="s">
        <v>6</v>
      </c>
      <c r="L123" s="66"/>
      <c r="M123" s="143" t="s">
        <v>1849</v>
      </c>
      <c r="N123" s="144" t="s">
        <v>6</v>
      </c>
      <c r="O123" s="6" t="s">
        <v>19</v>
      </c>
      <c r="P123" s="5" t="s">
        <v>334</v>
      </c>
      <c r="Q123" s="5" t="s">
        <v>0</v>
      </c>
      <c r="R123" s="7" t="s">
        <v>52</v>
      </c>
    </row>
    <row r="124" spans="1:18" ht="15.75" hidden="1" customHeight="1">
      <c r="A124" s="196" t="str">
        <f>HYPERLINK("http://sipi.sic.gov.co/sipi/View.ashx?4089247","SD2022/0028384")</f>
        <v>SD2022/0028384</v>
      </c>
      <c r="B124" s="8" t="s">
        <v>335</v>
      </c>
      <c r="C124" s="57" t="s">
        <v>7</v>
      </c>
      <c r="D124" s="104" t="s">
        <v>8</v>
      </c>
      <c r="E124" s="67"/>
      <c r="F124" s="68"/>
      <c r="G124" s="66" t="s">
        <v>6</v>
      </c>
      <c r="H124" s="66"/>
      <c r="I124" s="122"/>
      <c r="J124" s="68"/>
      <c r="K124" s="66" t="s">
        <v>6</v>
      </c>
      <c r="L124" s="66"/>
      <c r="M124" s="143" t="s">
        <v>1848</v>
      </c>
      <c r="N124" s="144" t="s">
        <v>6</v>
      </c>
      <c r="O124" s="6" t="s">
        <v>9</v>
      </c>
      <c r="P124" s="5" t="s">
        <v>259</v>
      </c>
      <c r="Q124" s="5" t="s">
        <v>0</v>
      </c>
      <c r="R124" s="7" t="s">
        <v>260</v>
      </c>
    </row>
    <row r="125" spans="1:18" ht="15.75" hidden="1" customHeight="1">
      <c r="A125" s="196" t="str">
        <f>HYPERLINK("http://sipi.sic.gov.co/sipi/View.ashx?4090988","SD2022/0028819")</f>
        <v>SD2022/0028819</v>
      </c>
      <c r="B125" s="8" t="s">
        <v>336</v>
      </c>
      <c r="C125" s="57" t="s">
        <v>7</v>
      </c>
      <c r="D125" s="104" t="s">
        <v>8</v>
      </c>
      <c r="E125" s="67"/>
      <c r="F125" s="68"/>
      <c r="G125" s="66" t="s">
        <v>6</v>
      </c>
      <c r="H125" s="66"/>
      <c r="I125" s="122"/>
      <c r="J125" s="68"/>
      <c r="K125" s="66" t="s">
        <v>6</v>
      </c>
      <c r="L125" s="66"/>
      <c r="M125" s="143" t="s">
        <v>1848</v>
      </c>
      <c r="N125" s="144" t="s">
        <v>6</v>
      </c>
      <c r="O125" s="6" t="s">
        <v>9</v>
      </c>
      <c r="P125" s="5" t="s">
        <v>337</v>
      </c>
      <c r="Q125" s="5" t="s">
        <v>278</v>
      </c>
      <c r="R125" s="7" t="s">
        <v>338</v>
      </c>
    </row>
    <row r="126" spans="1:18" ht="146.25" hidden="1" customHeight="1">
      <c r="A126" s="196" t="str">
        <f>HYPERLINK("http://sipi.sic.gov.co/sipi/View.ashx?4091764","SD2022/0029713")</f>
        <v>SD2022/0029713</v>
      </c>
      <c r="B126" s="8" t="s">
        <v>339</v>
      </c>
      <c r="C126" s="57" t="s">
        <v>13</v>
      </c>
      <c r="D126" s="104" t="s">
        <v>8</v>
      </c>
      <c r="E126" s="67"/>
      <c r="F126" s="68"/>
      <c r="G126" s="66" t="s">
        <v>6</v>
      </c>
      <c r="H126" s="66"/>
      <c r="I126" s="122"/>
      <c r="J126" s="68"/>
      <c r="K126" s="66" t="s">
        <v>6</v>
      </c>
      <c r="L126" s="66"/>
      <c r="M126" s="143" t="s">
        <v>1848</v>
      </c>
      <c r="N126" s="144" t="s">
        <v>6</v>
      </c>
      <c r="O126" s="6" t="s">
        <v>9</v>
      </c>
      <c r="P126" s="5" t="s">
        <v>340</v>
      </c>
      <c r="Q126" s="5" t="s">
        <v>0</v>
      </c>
      <c r="R126" s="7" t="s">
        <v>341</v>
      </c>
    </row>
    <row r="127" spans="1:18" ht="132.75" hidden="1" customHeight="1">
      <c r="A127" s="196" t="str">
        <f>HYPERLINK("http://sipi.sic.gov.co/sipi/View.ashx?4092804","SD2022/0029346")</f>
        <v>SD2022/0029346</v>
      </c>
      <c r="B127" s="8" t="s">
        <v>342</v>
      </c>
      <c r="C127" s="57" t="s">
        <v>13</v>
      </c>
      <c r="D127" s="104" t="s">
        <v>8</v>
      </c>
      <c r="E127" s="67"/>
      <c r="F127" s="68"/>
      <c r="G127" s="66" t="s">
        <v>6</v>
      </c>
      <c r="H127" s="66"/>
      <c r="I127" s="122"/>
      <c r="J127" s="68"/>
      <c r="K127" s="66" t="s">
        <v>6</v>
      </c>
      <c r="L127" s="66"/>
      <c r="M127" s="143" t="s">
        <v>1848</v>
      </c>
      <c r="N127" s="144" t="s">
        <v>6</v>
      </c>
      <c r="O127" s="6" t="s">
        <v>9</v>
      </c>
      <c r="P127" s="5" t="s">
        <v>343</v>
      </c>
      <c r="Q127" s="5" t="s">
        <v>0</v>
      </c>
      <c r="R127" s="7" t="s">
        <v>344</v>
      </c>
    </row>
    <row r="128" spans="1:18" ht="15.75" hidden="1" customHeight="1">
      <c r="A128" s="196" t="str">
        <f>HYPERLINK("http://sipi.sic.gov.co/sipi/View.ashx?4092913","SD2022/0030101")</f>
        <v>SD2022/0030101</v>
      </c>
      <c r="B128" s="8" t="s">
        <v>345</v>
      </c>
      <c r="C128" s="57" t="s">
        <v>7</v>
      </c>
      <c r="D128" s="104" t="s">
        <v>8</v>
      </c>
      <c r="E128" s="67"/>
      <c r="F128" s="68"/>
      <c r="G128" s="66" t="s">
        <v>6</v>
      </c>
      <c r="H128" s="66"/>
      <c r="I128" s="122"/>
      <c r="J128" s="68"/>
      <c r="K128" s="66" t="s">
        <v>6</v>
      </c>
      <c r="L128" s="66"/>
      <c r="M128" s="143" t="s">
        <v>1848</v>
      </c>
      <c r="N128" s="144" t="s">
        <v>6</v>
      </c>
      <c r="O128" s="6" t="s">
        <v>9</v>
      </c>
      <c r="P128" s="5" t="s">
        <v>346</v>
      </c>
      <c r="Q128" s="5" t="s">
        <v>0</v>
      </c>
      <c r="R128" s="7" t="s">
        <v>347</v>
      </c>
    </row>
    <row r="129" spans="1:18" ht="15.75" hidden="1" customHeight="1">
      <c r="A129" s="196" t="str">
        <f>HYPERLINK("http://sipi.sic.gov.co/sipi/View.ashx?4093375","SD2022/0029514")</f>
        <v>SD2022/0029514</v>
      </c>
      <c r="B129" s="8" t="s">
        <v>348</v>
      </c>
      <c r="C129" s="57" t="s">
        <v>7</v>
      </c>
      <c r="D129" s="104" t="s">
        <v>17</v>
      </c>
      <c r="E129" s="69" t="s">
        <v>349</v>
      </c>
      <c r="F129" s="68" t="s">
        <v>1724</v>
      </c>
      <c r="G129" s="66" t="s">
        <v>1848</v>
      </c>
      <c r="H129" s="66" t="s">
        <v>9</v>
      </c>
      <c r="I129" s="122"/>
      <c r="J129" s="68"/>
      <c r="K129" s="66" t="s">
        <v>6</v>
      </c>
      <c r="L129" s="66"/>
      <c r="M129" s="143" t="s">
        <v>1848</v>
      </c>
      <c r="N129" s="144" t="s">
        <v>6</v>
      </c>
      <c r="O129" s="6" t="s">
        <v>19</v>
      </c>
      <c r="P129" s="5" t="s">
        <v>350</v>
      </c>
      <c r="Q129" s="5" t="s">
        <v>0</v>
      </c>
      <c r="R129" s="7" t="s">
        <v>351</v>
      </c>
    </row>
    <row r="130" spans="1:18" ht="50.4" hidden="1" customHeight="1">
      <c r="A130" s="196" t="str">
        <f>HYPERLINK("http://sipi.sic.gov.co/sipi/View.ashx?4093412","SD2022/0029526")</f>
        <v>SD2022/0029526</v>
      </c>
      <c r="B130" s="8" t="s">
        <v>352</v>
      </c>
      <c r="C130" s="57" t="s">
        <v>13</v>
      </c>
      <c r="D130" s="104" t="s">
        <v>17</v>
      </c>
      <c r="E130" s="223" t="s">
        <v>558</v>
      </c>
      <c r="F130" s="68" t="s">
        <v>1725</v>
      </c>
      <c r="G130" s="66" t="s">
        <v>1848</v>
      </c>
      <c r="H130" s="66" t="s">
        <v>19</v>
      </c>
      <c r="I130" s="122"/>
      <c r="J130" s="68"/>
      <c r="K130" s="66" t="s">
        <v>6</v>
      </c>
      <c r="L130" s="66"/>
      <c r="M130" s="143" t="s">
        <v>1848</v>
      </c>
      <c r="N130" s="144" t="s">
        <v>6</v>
      </c>
      <c r="O130" s="6" t="s">
        <v>19</v>
      </c>
      <c r="P130" s="5" t="s">
        <v>353</v>
      </c>
      <c r="Q130" s="5" t="s">
        <v>0</v>
      </c>
      <c r="R130" s="7" t="s">
        <v>11</v>
      </c>
    </row>
    <row r="131" spans="1:18" ht="15.75" hidden="1" customHeight="1">
      <c r="A131" s="196" t="str">
        <f>HYPERLINK("http://sipi.sic.gov.co/sipi/View.ashx?4093607","SD2022/0029596")</f>
        <v>SD2022/0029596</v>
      </c>
      <c r="B131" s="8" t="s">
        <v>354</v>
      </c>
      <c r="C131" s="57" t="s">
        <v>13</v>
      </c>
      <c r="D131" s="104" t="s">
        <v>8</v>
      </c>
      <c r="E131" s="67"/>
      <c r="F131" s="68"/>
      <c r="G131" s="66" t="s">
        <v>6</v>
      </c>
      <c r="H131" s="66"/>
      <c r="I131" s="122"/>
      <c r="J131" s="68"/>
      <c r="K131" s="66" t="s">
        <v>6</v>
      </c>
      <c r="L131" s="66"/>
      <c r="M131" s="143" t="s">
        <v>1848</v>
      </c>
      <c r="N131" s="144" t="s">
        <v>6</v>
      </c>
      <c r="O131" s="6" t="s">
        <v>19</v>
      </c>
      <c r="P131" s="5" t="s">
        <v>353</v>
      </c>
      <c r="Q131" s="5" t="s">
        <v>0</v>
      </c>
      <c r="R131" s="7" t="s">
        <v>11</v>
      </c>
    </row>
    <row r="132" spans="1:18" ht="90" hidden="1" customHeight="1">
      <c r="A132" s="196" t="str">
        <f>HYPERLINK("http://sipi.sic.gov.co/sipi/View.ashx?4093993","SD2022/0029697")</f>
        <v>SD2022/0029697</v>
      </c>
      <c r="B132" s="8" t="s">
        <v>355</v>
      </c>
      <c r="C132" s="57" t="s">
        <v>7</v>
      </c>
      <c r="D132" s="104" t="s">
        <v>17</v>
      </c>
      <c r="E132" s="69" t="s">
        <v>356</v>
      </c>
      <c r="F132" s="68" t="s">
        <v>1726</v>
      </c>
      <c r="G132" s="66" t="s">
        <v>1848</v>
      </c>
      <c r="H132" s="66" t="s">
        <v>9</v>
      </c>
      <c r="I132" s="122"/>
      <c r="J132" s="68"/>
      <c r="K132" s="66" t="s">
        <v>6</v>
      </c>
      <c r="L132" s="66"/>
      <c r="M132" s="143" t="s">
        <v>1848</v>
      </c>
      <c r="N132" s="144" t="s">
        <v>6</v>
      </c>
      <c r="O132" s="6" t="s">
        <v>19</v>
      </c>
      <c r="P132" s="5" t="s">
        <v>165</v>
      </c>
      <c r="Q132" s="5" t="s">
        <v>0</v>
      </c>
      <c r="R132" s="7" t="s">
        <v>357</v>
      </c>
    </row>
    <row r="133" spans="1:18" ht="15.75" hidden="1" customHeight="1">
      <c r="A133" s="196" t="str">
        <f>HYPERLINK("http://sipi.sic.gov.co/sipi/View.ashx?4095685","SD2022/0030056")</f>
        <v>SD2022/0030056</v>
      </c>
      <c r="B133" s="8" t="s">
        <v>358</v>
      </c>
      <c r="C133" s="57" t="s">
        <v>7</v>
      </c>
      <c r="D133" s="104" t="s">
        <v>8</v>
      </c>
      <c r="E133" s="67"/>
      <c r="F133" s="68"/>
      <c r="G133" s="66" t="s">
        <v>6</v>
      </c>
      <c r="H133" s="66"/>
      <c r="I133" s="122"/>
      <c r="J133" s="68"/>
      <c r="K133" s="66" t="s">
        <v>6</v>
      </c>
      <c r="L133" s="66"/>
      <c r="M133" s="143" t="s">
        <v>1848</v>
      </c>
      <c r="N133" s="144" t="s">
        <v>6</v>
      </c>
      <c r="O133" s="6" t="s">
        <v>9</v>
      </c>
      <c r="P133" s="5" t="s">
        <v>359</v>
      </c>
      <c r="Q133" s="5" t="s">
        <v>0</v>
      </c>
      <c r="R133" s="7" t="s">
        <v>360</v>
      </c>
    </row>
    <row r="134" spans="1:18" ht="15.75" hidden="1" customHeight="1">
      <c r="A134" s="196" t="str">
        <f>HYPERLINK("http://sipi.sic.gov.co/sipi/View.ashx?4096242","SD2022/0030179")</f>
        <v>SD2022/0030179</v>
      </c>
      <c r="B134" s="8" t="s">
        <v>361</v>
      </c>
      <c r="C134" s="57" t="s">
        <v>7</v>
      </c>
      <c r="D134" s="104" t="s">
        <v>17</v>
      </c>
      <c r="E134" s="69" t="s">
        <v>362</v>
      </c>
      <c r="F134" s="68" t="s">
        <v>1727</v>
      </c>
      <c r="G134" s="66" t="s">
        <v>1848</v>
      </c>
      <c r="H134" s="66" t="s">
        <v>9</v>
      </c>
      <c r="I134" s="122"/>
      <c r="J134" s="68"/>
      <c r="K134" s="66" t="s">
        <v>6</v>
      </c>
      <c r="L134" s="66"/>
      <c r="M134" s="143" t="s">
        <v>1848</v>
      </c>
      <c r="N134" s="144" t="s">
        <v>6</v>
      </c>
      <c r="O134" s="6" t="s">
        <v>19</v>
      </c>
      <c r="P134" s="5" t="s">
        <v>363</v>
      </c>
      <c r="Q134" s="5" t="s">
        <v>0</v>
      </c>
      <c r="R134" s="7" t="s">
        <v>232</v>
      </c>
    </row>
    <row r="135" spans="1:18" ht="15.75" hidden="1" customHeight="1">
      <c r="A135" s="196" t="str">
        <f>HYPERLINK("http://sipi.sic.gov.co/sipi/View.ashx?4098762","SD2022/0030821")</f>
        <v>SD2022/0030821</v>
      </c>
      <c r="B135" s="8" t="s">
        <v>364</v>
      </c>
      <c r="C135" s="57" t="s">
        <v>7</v>
      </c>
      <c r="D135" s="104" t="s">
        <v>8</v>
      </c>
      <c r="E135" s="67"/>
      <c r="F135" s="68"/>
      <c r="G135" s="66" t="s">
        <v>6</v>
      </c>
      <c r="H135" s="66"/>
      <c r="I135" s="122"/>
      <c r="J135" s="68"/>
      <c r="K135" s="66" t="s">
        <v>6</v>
      </c>
      <c r="L135" s="66"/>
      <c r="M135" s="143" t="s">
        <v>1859</v>
      </c>
      <c r="N135" s="144" t="s">
        <v>6</v>
      </c>
      <c r="O135" s="6" t="s">
        <v>19</v>
      </c>
      <c r="P135" s="5" t="s">
        <v>365</v>
      </c>
      <c r="Q135" s="5" t="s">
        <v>0</v>
      </c>
      <c r="R135" s="7" t="s">
        <v>366</v>
      </c>
    </row>
    <row r="136" spans="1:18" ht="15.75" hidden="1" customHeight="1">
      <c r="A136" s="196" t="str">
        <f>HYPERLINK("http://sipi.sic.gov.co/sipi/View.ashx?4099264","SD2022/0031256")</f>
        <v>SD2022/0031256</v>
      </c>
      <c r="B136" s="8" t="s">
        <v>367</v>
      </c>
      <c r="C136" s="57" t="s">
        <v>13</v>
      </c>
      <c r="D136" s="104" t="s">
        <v>8</v>
      </c>
      <c r="E136" s="67"/>
      <c r="F136" s="68"/>
      <c r="G136" s="66" t="s">
        <v>6</v>
      </c>
      <c r="H136" s="66"/>
      <c r="I136" s="122"/>
      <c r="J136" s="68"/>
      <c r="K136" s="66" t="s">
        <v>6</v>
      </c>
      <c r="L136" s="66"/>
      <c r="M136" s="143" t="s">
        <v>1848</v>
      </c>
      <c r="N136" s="144" t="s">
        <v>6</v>
      </c>
      <c r="O136" s="6" t="s">
        <v>19</v>
      </c>
      <c r="P136" s="5" t="s">
        <v>368</v>
      </c>
      <c r="Q136" s="5" t="s">
        <v>106</v>
      </c>
      <c r="R136" s="7" t="s">
        <v>369</v>
      </c>
    </row>
    <row r="137" spans="1:18" ht="54" hidden="1" customHeight="1">
      <c r="A137" s="196" t="str">
        <f>HYPERLINK("http://sipi.sic.gov.co/sipi/View.ashx?4102497","SD2022/0031702")</f>
        <v>SD2022/0031702</v>
      </c>
      <c r="B137" s="8" t="s">
        <v>370</v>
      </c>
      <c r="C137" s="57" t="s">
        <v>13</v>
      </c>
      <c r="D137" s="104" t="s">
        <v>17</v>
      </c>
      <c r="E137" s="69" t="s">
        <v>371</v>
      </c>
      <c r="F137" s="68" t="s">
        <v>1708</v>
      </c>
      <c r="G137" s="66" t="s">
        <v>1848</v>
      </c>
      <c r="H137" s="66" t="s">
        <v>9</v>
      </c>
      <c r="I137" s="122"/>
      <c r="J137" s="68"/>
      <c r="K137" s="66" t="s">
        <v>6</v>
      </c>
      <c r="L137" s="66"/>
      <c r="M137" s="143" t="s">
        <v>1848</v>
      </c>
      <c r="N137" s="144" t="s">
        <v>6</v>
      </c>
      <c r="O137" s="6" t="s">
        <v>9</v>
      </c>
      <c r="P137" s="5" t="s">
        <v>372</v>
      </c>
      <c r="Q137" s="5" t="s">
        <v>0</v>
      </c>
      <c r="R137" s="7" t="s">
        <v>373</v>
      </c>
    </row>
    <row r="138" spans="1:18" ht="63" hidden="1" customHeight="1">
      <c r="A138" s="196" t="str">
        <f>HYPERLINK("http://sipi.sic.gov.co/sipi/View.ashx?4102727","SD2022/0031755")</f>
        <v>SD2022/0031755</v>
      </c>
      <c r="B138" s="8" t="s">
        <v>374</v>
      </c>
      <c r="C138" s="57" t="s">
        <v>13</v>
      </c>
      <c r="D138" s="104" t="s">
        <v>17</v>
      </c>
      <c r="E138" s="69" t="s">
        <v>375</v>
      </c>
      <c r="F138" s="68" t="s">
        <v>1728</v>
      </c>
      <c r="G138" s="66" t="s">
        <v>1848</v>
      </c>
      <c r="H138" s="66" t="s">
        <v>19</v>
      </c>
      <c r="I138" s="122"/>
      <c r="J138" s="68"/>
      <c r="K138" s="66" t="s">
        <v>6</v>
      </c>
      <c r="L138" s="66"/>
      <c r="M138" s="143" t="s">
        <v>1848</v>
      </c>
      <c r="N138" s="144" t="s">
        <v>6</v>
      </c>
      <c r="O138" s="6" t="s">
        <v>9</v>
      </c>
      <c r="P138" s="5" t="s">
        <v>372</v>
      </c>
      <c r="Q138" s="5" t="s">
        <v>0</v>
      </c>
      <c r="R138" s="7" t="s">
        <v>376</v>
      </c>
    </row>
    <row r="139" spans="1:18" ht="15.75" hidden="1" customHeight="1">
      <c r="A139" s="196" t="str">
        <f>HYPERLINK("http://sipi.sic.gov.co/sipi/View.ashx?4102848","SD2022/0031774")</f>
        <v>SD2022/0031774</v>
      </c>
      <c r="B139" s="8" t="s">
        <v>377</v>
      </c>
      <c r="C139" s="57" t="s">
        <v>13</v>
      </c>
      <c r="D139" s="104" t="s">
        <v>8</v>
      </c>
      <c r="E139" s="67"/>
      <c r="F139" s="68"/>
      <c r="G139" s="66" t="s">
        <v>6</v>
      </c>
      <c r="H139" s="66"/>
      <c r="I139" s="122"/>
      <c r="J139" s="68"/>
      <c r="K139" s="66" t="s">
        <v>6</v>
      </c>
      <c r="L139" s="66"/>
      <c r="M139" s="143" t="s">
        <v>1848</v>
      </c>
      <c r="N139" s="144" t="s">
        <v>6</v>
      </c>
      <c r="O139" s="6" t="s">
        <v>19</v>
      </c>
      <c r="P139" s="5" t="s">
        <v>372</v>
      </c>
      <c r="Q139" s="5" t="s">
        <v>0</v>
      </c>
      <c r="R139" s="7" t="s">
        <v>378</v>
      </c>
    </row>
    <row r="140" spans="1:18" ht="15.75" hidden="1" customHeight="1">
      <c r="A140" s="196" t="str">
        <f>HYPERLINK("http://sipi.sic.gov.co/sipi/View.ashx?4104178","SD2022/0032158")</f>
        <v>SD2022/0032158</v>
      </c>
      <c r="B140" s="8" t="s">
        <v>379</v>
      </c>
      <c r="C140" s="57" t="s">
        <v>13</v>
      </c>
      <c r="D140" s="104" t="s">
        <v>8</v>
      </c>
      <c r="E140" s="67"/>
      <c r="F140" s="68"/>
      <c r="G140" s="66" t="s">
        <v>6</v>
      </c>
      <c r="H140" s="66"/>
      <c r="I140" s="122"/>
      <c r="J140" s="68"/>
      <c r="K140" s="66" t="s">
        <v>6</v>
      </c>
      <c r="L140" s="66"/>
      <c r="M140" s="143" t="s">
        <v>1848</v>
      </c>
      <c r="N140" s="144" t="s">
        <v>6</v>
      </c>
      <c r="O140" s="6" t="s">
        <v>19</v>
      </c>
      <c r="P140" s="5" t="s">
        <v>380</v>
      </c>
      <c r="Q140" s="5" t="s">
        <v>23</v>
      </c>
      <c r="R140" s="7" t="s">
        <v>381</v>
      </c>
    </row>
    <row r="141" spans="1:18" ht="15.75" hidden="1" customHeight="1">
      <c r="A141" s="196" t="str">
        <f>HYPERLINK("http://sipi.sic.gov.co/sipi/View.ashx?4104317","SD2022/0032187")</f>
        <v>SD2022/0032187</v>
      </c>
      <c r="B141" s="8" t="s">
        <v>382</v>
      </c>
      <c r="C141" s="57" t="s">
        <v>13</v>
      </c>
      <c r="D141" s="104" t="s">
        <v>8</v>
      </c>
      <c r="E141" s="67"/>
      <c r="F141" s="68"/>
      <c r="G141" s="66" t="s">
        <v>6</v>
      </c>
      <c r="H141" s="66"/>
      <c r="I141" s="122"/>
      <c r="J141" s="68"/>
      <c r="K141" s="66" t="s">
        <v>6</v>
      </c>
      <c r="L141" s="66"/>
      <c r="M141" s="143" t="s">
        <v>1848</v>
      </c>
      <c r="N141" s="144" t="s">
        <v>6</v>
      </c>
      <c r="O141" s="6" t="s">
        <v>19</v>
      </c>
      <c r="P141" s="5" t="s">
        <v>383</v>
      </c>
      <c r="Q141" s="5" t="s">
        <v>0</v>
      </c>
      <c r="R141" s="7" t="s">
        <v>384</v>
      </c>
    </row>
    <row r="142" spans="1:18" ht="100.5" hidden="1" customHeight="1">
      <c r="A142" s="196" t="str">
        <f>HYPERLINK("http://sipi.sic.gov.co/sipi/View.ashx?4104604","SD2022/0032287")</f>
        <v>SD2022/0032287</v>
      </c>
      <c r="B142" s="8" t="s">
        <v>385</v>
      </c>
      <c r="C142" s="57" t="s">
        <v>13</v>
      </c>
      <c r="D142" s="104" t="s">
        <v>8</v>
      </c>
      <c r="E142" s="67"/>
      <c r="F142" s="68"/>
      <c r="G142" s="66" t="s">
        <v>6</v>
      </c>
      <c r="H142" s="66"/>
      <c r="I142" s="122"/>
      <c r="J142" s="68"/>
      <c r="K142" s="66" t="s">
        <v>6</v>
      </c>
      <c r="L142" s="66"/>
      <c r="M142" s="143" t="s">
        <v>1849</v>
      </c>
      <c r="N142" s="144" t="s">
        <v>6</v>
      </c>
      <c r="O142" s="6" t="s">
        <v>9</v>
      </c>
      <c r="P142" s="5" t="s">
        <v>386</v>
      </c>
      <c r="Q142" s="5" t="s">
        <v>387</v>
      </c>
      <c r="R142" s="7" t="s">
        <v>388</v>
      </c>
    </row>
    <row r="143" spans="1:18" ht="42.75" customHeight="1">
      <c r="A143" s="202" t="str">
        <f>HYPERLINK("http://sipi.sic.gov.co/sipi/View.ashx?4104958","SD2022/0032729")</f>
        <v>SD2022/0032729</v>
      </c>
      <c r="B143" s="14" t="s">
        <v>389</v>
      </c>
      <c r="C143" s="60" t="s">
        <v>13</v>
      </c>
      <c r="D143" s="107" t="s">
        <v>17</v>
      </c>
      <c r="E143" s="79" t="s">
        <v>390</v>
      </c>
      <c r="F143" s="68" t="s">
        <v>1744</v>
      </c>
      <c r="G143" s="66" t="s">
        <v>1848</v>
      </c>
      <c r="H143" s="78" t="s">
        <v>9</v>
      </c>
      <c r="I143" s="226" t="s">
        <v>607</v>
      </c>
      <c r="J143" s="80" t="s">
        <v>1736</v>
      </c>
      <c r="K143" s="66" t="s">
        <v>1848</v>
      </c>
      <c r="L143" s="78" t="s">
        <v>19</v>
      </c>
      <c r="M143" s="146" t="s">
        <v>1848</v>
      </c>
      <c r="N143" s="144" t="s">
        <v>6</v>
      </c>
      <c r="O143" s="16" t="s">
        <v>19</v>
      </c>
      <c r="P143" s="15" t="s">
        <v>391</v>
      </c>
      <c r="Q143" s="15" t="s">
        <v>0</v>
      </c>
      <c r="R143" s="17" t="s">
        <v>392</v>
      </c>
    </row>
    <row r="144" spans="1:18" ht="15.75" hidden="1" customHeight="1">
      <c r="A144" s="196" t="str">
        <f>HYPERLINK("http://sipi.sic.gov.co/sipi/View.ashx?4104995","SD2022/0032739")</f>
        <v>SD2022/0032739</v>
      </c>
      <c r="B144" s="8" t="s">
        <v>393</v>
      </c>
      <c r="C144" s="57" t="s">
        <v>13</v>
      </c>
      <c r="D144" s="104" t="s">
        <v>8</v>
      </c>
      <c r="E144" s="67"/>
      <c r="F144" s="68"/>
      <c r="G144" s="66" t="s">
        <v>6</v>
      </c>
      <c r="H144" s="66"/>
      <c r="I144" s="122"/>
      <c r="J144" s="68"/>
      <c r="K144" s="66" t="s">
        <v>6</v>
      </c>
      <c r="L144" s="66"/>
      <c r="M144" s="143" t="s">
        <v>1848</v>
      </c>
      <c r="N144" s="144" t="s">
        <v>6</v>
      </c>
      <c r="O144" s="6" t="s">
        <v>9</v>
      </c>
      <c r="P144" s="5" t="s">
        <v>391</v>
      </c>
      <c r="Q144" s="5" t="s">
        <v>0</v>
      </c>
      <c r="R144" s="7" t="s">
        <v>394</v>
      </c>
    </row>
    <row r="145" spans="1:18" ht="15.75" hidden="1" customHeight="1">
      <c r="A145" s="203" t="str">
        <f>HYPERLINK("http://sipi.sic.gov.co/sipi/View.ashx?4105081","SD2022/0032909")</f>
        <v>SD2022/0032909</v>
      </c>
      <c r="B145" s="9" t="s">
        <v>395</v>
      </c>
      <c r="C145" s="58" t="s">
        <v>13</v>
      </c>
      <c r="D145" s="106" t="s">
        <v>8</v>
      </c>
      <c r="E145" s="81"/>
      <c r="F145" s="74"/>
      <c r="G145" s="66" t="s">
        <v>6</v>
      </c>
      <c r="H145" s="73"/>
      <c r="I145" s="127"/>
      <c r="J145" s="74"/>
      <c r="K145" s="66" t="s">
        <v>6</v>
      </c>
      <c r="L145" s="73"/>
      <c r="M145" s="144" t="s">
        <v>1848</v>
      </c>
      <c r="N145" s="144" t="s">
        <v>6</v>
      </c>
      <c r="O145" s="11" t="s">
        <v>9</v>
      </c>
      <c r="P145" s="10" t="s">
        <v>391</v>
      </c>
      <c r="Q145" s="10" t="s">
        <v>0</v>
      </c>
      <c r="R145" s="12" t="s">
        <v>394</v>
      </c>
    </row>
    <row r="146" spans="1:18" ht="15.75" hidden="1" customHeight="1">
      <c r="A146" s="196" t="str">
        <f>HYPERLINK("http://sipi.sic.gov.co/sipi/View.ashx?4105608","SD2022/0032531")</f>
        <v>SD2022/0032531</v>
      </c>
      <c r="B146" s="8" t="s">
        <v>396</v>
      </c>
      <c r="C146" s="57" t="s">
        <v>7</v>
      </c>
      <c r="D146" s="104" t="s">
        <v>8</v>
      </c>
      <c r="E146" s="67"/>
      <c r="F146" s="68"/>
      <c r="G146" s="66" t="s">
        <v>6</v>
      </c>
      <c r="H146" s="66"/>
      <c r="I146" s="122"/>
      <c r="J146" s="68"/>
      <c r="K146" s="66" t="s">
        <v>6</v>
      </c>
      <c r="L146" s="66"/>
      <c r="M146" s="143" t="s">
        <v>1848</v>
      </c>
      <c r="N146" s="144" t="s">
        <v>6</v>
      </c>
      <c r="O146" s="6" t="s">
        <v>19</v>
      </c>
      <c r="P146" s="5" t="s">
        <v>397</v>
      </c>
      <c r="Q146" s="5" t="s">
        <v>0</v>
      </c>
      <c r="R146" s="7" t="s">
        <v>398</v>
      </c>
    </row>
    <row r="147" spans="1:18" ht="15.75" hidden="1" customHeight="1">
      <c r="A147" s="196" t="str">
        <f>HYPERLINK("http://sipi.sic.gov.co/sipi/View.ashx?4106694","SD2022/0032783")</f>
        <v>SD2022/0032783</v>
      </c>
      <c r="B147" s="8" t="s">
        <v>399</v>
      </c>
      <c r="C147" s="57" t="s">
        <v>7</v>
      </c>
      <c r="D147" s="104" t="s">
        <v>8</v>
      </c>
      <c r="E147" s="67"/>
      <c r="F147" s="68"/>
      <c r="G147" s="66" t="s">
        <v>6</v>
      </c>
      <c r="H147" s="66"/>
      <c r="I147" s="122"/>
      <c r="J147" s="68"/>
      <c r="K147" s="66" t="s">
        <v>6</v>
      </c>
      <c r="L147" s="66"/>
      <c r="M147" s="143" t="s">
        <v>1848</v>
      </c>
      <c r="N147" s="144" t="s">
        <v>6</v>
      </c>
      <c r="O147" s="6" t="s">
        <v>19</v>
      </c>
      <c r="P147" s="5" t="s">
        <v>400</v>
      </c>
      <c r="Q147" s="5" t="s">
        <v>0</v>
      </c>
      <c r="R147" s="7" t="s">
        <v>401</v>
      </c>
    </row>
    <row r="148" spans="1:18" ht="15.75" hidden="1" customHeight="1">
      <c r="A148" s="196" t="str">
        <f>HYPERLINK("http://sipi.sic.gov.co/sipi/View.ashx?4106703","SD2022/0032790")</f>
        <v>SD2022/0032790</v>
      </c>
      <c r="B148" s="8" t="s">
        <v>402</v>
      </c>
      <c r="C148" s="57" t="s">
        <v>7</v>
      </c>
      <c r="D148" s="104" t="s">
        <v>8</v>
      </c>
      <c r="E148" s="67"/>
      <c r="F148" s="68"/>
      <c r="G148" s="66" t="s">
        <v>6</v>
      </c>
      <c r="H148" s="66"/>
      <c r="I148" s="122"/>
      <c r="J148" s="68"/>
      <c r="K148" s="66" t="s">
        <v>6</v>
      </c>
      <c r="L148" s="66"/>
      <c r="M148" s="143" t="s">
        <v>1848</v>
      </c>
      <c r="N148" s="144" t="s">
        <v>6</v>
      </c>
      <c r="O148" s="6" t="s">
        <v>9</v>
      </c>
      <c r="P148" s="5" t="s">
        <v>400</v>
      </c>
      <c r="Q148" s="5" t="s">
        <v>0</v>
      </c>
      <c r="R148" s="7" t="s">
        <v>403</v>
      </c>
    </row>
    <row r="149" spans="1:18" ht="34.5" hidden="1" customHeight="1">
      <c r="A149" s="196" t="str">
        <f>HYPERLINK("http://sipi.sic.gov.co/sipi/View.ashx?4107290","SD2022/0032785")</f>
        <v>SD2022/0032785</v>
      </c>
      <c r="B149" s="8" t="s">
        <v>404</v>
      </c>
      <c r="C149" s="57" t="s">
        <v>13</v>
      </c>
      <c r="D149" s="104" t="s">
        <v>17</v>
      </c>
      <c r="E149" s="69" t="s">
        <v>405</v>
      </c>
      <c r="F149" s="68" t="s">
        <v>1729</v>
      </c>
      <c r="G149" s="66" t="s">
        <v>1848</v>
      </c>
      <c r="H149" s="66" t="s">
        <v>9</v>
      </c>
      <c r="I149" s="122"/>
      <c r="J149" s="68"/>
      <c r="K149" s="66" t="s">
        <v>6</v>
      </c>
      <c r="L149" s="66"/>
      <c r="M149" s="143" t="s">
        <v>1848</v>
      </c>
      <c r="N149" s="144" t="s">
        <v>6</v>
      </c>
      <c r="O149" s="6" t="s">
        <v>9</v>
      </c>
      <c r="P149" s="5" t="s">
        <v>391</v>
      </c>
      <c r="Q149" s="5" t="s">
        <v>0</v>
      </c>
      <c r="R149" s="7" t="s">
        <v>394</v>
      </c>
    </row>
    <row r="150" spans="1:18" ht="15.75" hidden="1" customHeight="1">
      <c r="A150" s="196" t="str">
        <f>HYPERLINK("http://sipi.sic.gov.co/sipi/View.ashx?4109427","SD2022/0033342")</f>
        <v>SD2022/0033342</v>
      </c>
      <c r="B150" s="8" t="s">
        <v>406</v>
      </c>
      <c r="C150" s="57" t="s">
        <v>13</v>
      </c>
      <c r="D150" s="104" t="s">
        <v>8</v>
      </c>
      <c r="E150" s="67"/>
      <c r="F150" s="68"/>
      <c r="G150" s="66" t="s">
        <v>6</v>
      </c>
      <c r="H150" s="66"/>
      <c r="I150" s="122"/>
      <c r="J150" s="68"/>
      <c r="K150" s="66" t="s">
        <v>6</v>
      </c>
      <c r="L150" s="66"/>
      <c r="M150" s="143" t="s">
        <v>1848</v>
      </c>
      <c r="N150" s="144" t="s">
        <v>6</v>
      </c>
      <c r="O150" s="6" t="s">
        <v>9</v>
      </c>
      <c r="P150" s="5" t="s">
        <v>391</v>
      </c>
      <c r="Q150" s="5" t="s">
        <v>0</v>
      </c>
      <c r="R150" s="7" t="s">
        <v>394</v>
      </c>
    </row>
    <row r="151" spans="1:18" ht="77.25" hidden="1" customHeight="1">
      <c r="A151" s="196" t="str">
        <f>HYPERLINK("http://sipi.sic.gov.co/sipi/View.ashx?4109774","SD2022/0033498")</f>
        <v>SD2022/0033498</v>
      </c>
      <c r="B151" s="8" t="s">
        <v>407</v>
      </c>
      <c r="C151" s="57" t="s">
        <v>7</v>
      </c>
      <c r="D151" s="104" t="s">
        <v>17</v>
      </c>
      <c r="E151" s="69" t="s">
        <v>408</v>
      </c>
      <c r="F151" s="68" t="s">
        <v>1730</v>
      </c>
      <c r="G151" s="66" t="s">
        <v>1848</v>
      </c>
      <c r="H151" s="66" t="s">
        <v>9</v>
      </c>
      <c r="I151" s="124"/>
      <c r="J151" s="68"/>
      <c r="K151" s="66" t="s">
        <v>6</v>
      </c>
      <c r="L151" s="66"/>
      <c r="M151" s="143" t="s">
        <v>1848</v>
      </c>
      <c r="N151" s="144" t="s">
        <v>6</v>
      </c>
      <c r="O151" s="6" t="s">
        <v>19</v>
      </c>
      <c r="P151" s="5" t="s">
        <v>409</v>
      </c>
      <c r="Q151" s="5" t="s">
        <v>23</v>
      </c>
      <c r="R151" s="7" t="s">
        <v>410</v>
      </c>
    </row>
    <row r="152" spans="1:18" ht="15.75" hidden="1" customHeight="1">
      <c r="A152" s="196" t="str">
        <f>HYPERLINK("http://sipi.sic.gov.co/sipi/View.ashx?4109829","SD2022/0037737")</f>
        <v>SD2022/0037737</v>
      </c>
      <c r="B152" s="8" t="s">
        <v>411</v>
      </c>
      <c r="C152" s="57" t="s">
        <v>13</v>
      </c>
      <c r="D152" s="104" t="s">
        <v>8</v>
      </c>
      <c r="E152" s="69"/>
      <c r="F152" s="68"/>
      <c r="G152" s="66" t="s">
        <v>6</v>
      </c>
      <c r="H152" s="66"/>
      <c r="I152" s="122"/>
      <c r="J152" s="68"/>
      <c r="K152" s="66" t="s">
        <v>6</v>
      </c>
      <c r="L152" s="66"/>
      <c r="M152" s="143" t="s">
        <v>1848</v>
      </c>
      <c r="N152" s="144" t="s">
        <v>6</v>
      </c>
      <c r="O152" s="6" t="s">
        <v>9</v>
      </c>
      <c r="P152" s="5" t="s">
        <v>412</v>
      </c>
      <c r="Q152" s="5" t="s">
        <v>413</v>
      </c>
      <c r="R152" s="7" t="s">
        <v>414</v>
      </c>
    </row>
    <row r="153" spans="1:18" ht="15.75" hidden="1" customHeight="1">
      <c r="A153" s="196" t="str">
        <f>HYPERLINK("http://sipi.sic.gov.co/sipi/View.ashx?4110326","SD2022/0033527")</f>
        <v>SD2022/0033527</v>
      </c>
      <c r="B153" s="8" t="s">
        <v>415</v>
      </c>
      <c r="C153" s="57" t="s">
        <v>7</v>
      </c>
      <c r="D153" s="104" t="s">
        <v>8</v>
      </c>
      <c r="E153" s="67"/>
      <c r="F153" s="68"/>
      <c r="G153" s="66" t="s">
        <v>6</v>
      </c>
      <c r="H153" s="66"/>
      <c r="I153" s="122"/>
      <c r="J153" s="68"/>
      <c r="K153" s="66" t="s">
        <v>6</v>
      </c>
      <c r="L153" s="66"/>
      <c r="M153" s="143" t="s">
        <v>1848</v>
      </c>
      <c r="N153" s="144" t="s">
        <v>6</v>
      </c>
      <c r="O153" s="6" t="s">
        <v>19</v>
      </c>
      <c r="P153" s="5" t="s">
        <v>416</v>
      </c>
      <c r="Q153" s="5" t="s">
        <v>0</v>
      </c>
      <c r="R153" s="7" t="s">
        <v>417</v>
      </c>
    </row>
    <row r="154" spans="1:18" ht="15.75" hidden="1" customHeight="1">
      <c r="A154" s="196" t="str">
        <f>HYPERLINK("http://sipi.sic.gov.co/sipi/View.ashx?4110924","SD2022/0033705")</f>
        <v>SD2022/0033705</v>
      </c>
      <c r="B154" s="8" t="s">
        <v>418</v>
      </c>
      <c r="C154" s="57" t="s">
        <v>13</v>
      </c>
      <c r="D154" s="104" t="s">
        <v>8</v>
      </c>
      <c r="E154" s="67"/>
      <c r="F154" s="68"/>
      <c r="G154" s="66" t="s">
        <v>6</v>
      </c>
      <c r="H154" s="66"/>
      <c r="I154" s="122"/>
      <c r="J154" s="68"/>
      <c r="K154" s="66" t="s">
        <v>6</v>
      </c>
      <c r="L154" s="66"/>
      <c r="M154" s="143" t="s">
        <v>1848</v>
      </c>
      <c r="N154" s="144" t="s">
        <v>6</v>
      </c>
      <c r="O154" s="6" t="s">
        <v>19</v>
      </c>
      <c r="P154" s="5" t="s">
        <v>419</v>
      </c>
      <c r="Q154" s="5" t="s">
        <v>0</v>
      </c>
      <c r="R154" s="7" t="s">
        <v>420</v>
      </c>
    </row>
    <row r="155" spans="1:18" ht="15.75" hidden="1" customHeight="1">
      <c r="A155" s="196" t="str">
        <f>HYPERLINK("http://sipi.sic.gov.co/sipi/View.ashx?4110967","SD2022/0033726")</f>
        <v>SD2022/0033726</v>
      </c>
      <c r="B155" s="8" t="s">
        <v>421</v>
      </c>
      <c r="C155" s="57" t="s">
        <v>13</v>
      </c>
      <c r="D155" s="104" t="s">
        <v>8</v>
      </c>
      <c r="E155" s="67"/>
      <c r="F155" s="68"/>
      <c r="G155" s="66" t="s">
        <v>6</v>
      </c>
      <c r="H155" s="66"/>
      <c r="I155" s="122"/>
      <c r="J155" s="68"/>
      <c r="K155" s="66" t="s">
        <v>6</v>
      </c>
      <c r="L155" s="66"/>
      <c r="M155" s="143" t="s">
        <v>1848</v>
      </c>
      <c r="N155" s="144" t="s">
        <v>6</v>
      </c>
      <c r="O155" s="6" t="s">
        <v>19</v>
      </c>
      <c r="P155" s="5" t="s">
        <v>419</v>
      </c>
      <c r="Q155" s="5" t="s">
        <v>0</v>
      </c>
      <c r="R155" s="7" t="s">
        <v>420</v>
      </c>
    </row>
    <row r="156" spans="1:18" ht="15.75" hidden="1" customHeight="1">
      <c r="A156" s="196" t="str">
        <f>HYPERLINK("http://sipi.sic.gov.co/sipi/View.ashx?4111096","SD2022/0033768")</f>
        <v>SD2022/0033768</v>
      </c>
      <c r="B156" s="8" t="s">
        <v>422</v>
      </c>
      <c r="C156" s="57" t="s">
        <v>7</v>
      </c>
      <c r="D156" s="104" t="s">
        <v>8</v>
      </c>
      <c r="E156" s="67"/>
      <c r="F156" s="68"/>
      <c r="G156" s="66" t="s">
        <v>6</v>
      </c>
      <c r="H156" s="66"/>
      <c r="I156" s="122"/>
      <c r="J156" s="68"/>
      <c r="K156" s="66" t="s">
        <v>6</v>
      </c>
      <c r="L156" s="66"/>
      <c r="M156" s="143" t="s">
        <v>1848</v>
      </c>
      <c r="N156" s="144" t="s">
        <v>6</v>
      </c>
      <c r="O156" s="6" t="s">
        <v>9</v>
      </c>
      <c r="P156" s="5" t="s">
        <v>423</v>
      </c>
      <c r="Q156" s="5" t="s">
        <v>0</v>
      </c>
      <c r="R156" s="7" t="s">
        <v>424</v>
      </c>
    </row>
    <row r="157" spans="1:18" ht="15.75" hidden="1" customHeight="1">
      <c r="A157" s="196" t="str">
        <f>HYPERLINK("http://sipi.sic.gov.co/sipi/View.ashx?4111146","SD2022/0033779")</f>
        <v>SD2022/0033779</v>
      </c>
      <c r="B157" s="8" t="s">
        <v>425</v>
      </c>
      <c r="C157" s="57" t="s">
        <v>7</v>
      </c>
      <c r="D157" s="104" t="s">
        <v>8</v>
      </c>
      <c r="E157" s="67"/>
      <c r="F157" s="68"/>
      <c r="G157" s="66" t="s">
        <v>6</v>
      </c>
      <c r="H157" s="66"/>
      <c r="I157" s="122"/>
      <c r="J157" s="68"/>
      <c r="K157" s="66" t="s">
        <v>6</v>
      </c>
      <c r="L157" s="66"/>
      <c r="M157" s="143" t="s">
        <v>1848</v>
      </c>
      <c r="N157" s="144" t="s">
        <v>6</v>
      </c>
      <c r="O157" s="6" t="s">
        <v>9</v>
      </c>
      <c r="P157" s="5" t="s">
        <v>423</v>
      </c>
      <c r="Q157" s="5" t="s">
        <v>0</v>
      </c>
      <c r="R157" s="7" t="s">
        <v>426</v>
      </c>
    </row>
    <row r="158" spans="1:18" ht="51" hidden="1" customHeight="1">
      <c r="A158" s="196" t="str">
        <f>HYPERLINK("http://sipi.sic.gov.co/sipi/View.ashx?4113557","SD2022/0034478")</f>
        <v>SD2022/0034478</v>
      </c>
      <c r="B158" s="8" t="s">
        <v>427</v>
      </c>
      <c r="C158" s="57" t="s">
        <v>13</v>
      </c>
      <c r="D158" s="104" t="s">
        <v>8</v>
      </c>
      <c r="E158" s="67"/>
      <c r="F158" s="68"/>
      <c r="G158" s="66" t="s">
        <v>6</v>
      </c>
      <c r="H158" s="66"/>
      <c r="I158" s="122"/>
      <c r="J158" s="68"/>
      <c r="K158" s="66" t="s">
        <v>6</v>
      </c>
      <c r="L158" s="66"/>
      <c r="M158" s="143" t="s">
        <v>1848</v>
      </c>
      <c r="N158" s="144" t="s">
        <v>6</v>
      </c>
      <c r="O158" s="6" t="s">
        <v>9</v>
      </c>
      <c r="P158" s="5" t="s">
        <v>428</v>
      </c>
      <c r="Q158" s="5" t="s">
        <v>0</v>
      </c>
      <c r="R158" s="7" t="s">
        <v>429</v>
      </c>
    </row>
    <row r="159" spans="1:18" ht="15.75" hidden="1" customHeight="1">
      <c r="A159" s="196" t="str">
        <f>HYPERLINK("http://sipi.sic.gov.co/sipi/View.ashx?4113736","SD2022/0034645")</f>
        <v>SD2022/0034645</v>
      </c>
      <c r="B159" s="8" t="s">
        <v>430</v>
      </c>
      <c r="C159" s="57" t="s">
        <v>7</v>
      </c>
      <c r="D159" s="104" t="s">
        <v>8</v>
      </c>
      <c r="E159" s="67"/>
      <c r="F159" s="68"/>
      <c r="G159" s="66" t="s">
        <v>6</v>
      </c>
      <c r="H159" s="66"/>
      <c r="I159" s="122"/>
      <c r="J159" s="68"/>
      <c r="K159" s="66" t="s">
        <v>6</v>
      </c>
      <c r="L159" s="66"/>
      <c r="M159" s="143" t="s">
        <v>1848</v>
      </c>
      <c r="N159" s="144" t="s">
        <v>6</v>
      </c>
      <c r="O159" s="6" t="s">
        <v>19</v>
      </c>
      <c r="P159" s="5" t="s">
        <v>431</v>
      </c>
      <c r="Q159" s="5" t="s">
        <v>0</v>
      </c>
      <c r="R159" s="7" t="s">
        <v>432</v>
      </c>
    </row>
    <row r="160" spans="1:18" ht="15.75" hidden="1" customHeight="1">
      <c r="A160" s="196" t="str">
        <f>HYPERLINK("http://sipi.sic.gov.co/sipi/View.ashx?4113741","SD2022/0034642")</f>
        <v>SD2022/0034642</v>
      </c>
      <c r="B160" s="8" t="s">
        <v>433</v>
      </c>
      <c r="C160" s="57" t="s">
        <v>7</v>
      </c>
      <c r="D160" s="104" t="s">
        <v>8</v>
      </c>
      <c r="E160" s="67"/>
      <c r="F160" s="68"/>
      <c r="G160" s="66" t="s">
        <v>6</v>
      </c>
      <c r="H160" s="66"/>
      <c r="I160" s="122"/>
      <c r="J160" s="68"/>
      <c r="K160" s="66" t="s">
        <v>6</v>
      </c>
      <c r="L160" s="66"/>
      <c r="M160" s="143" t="s">
        <v>1849</v>
      </c>
      <c r="N160" s="144" t="s">
        <v>6</v>
      </c>
      <c r="O160" s="6" t="s">
        <v>9</v>
      </c>
      <c r="P160" s="5" t="s">
        <v>431</v>
      </c>
      <c r="Q160" s="5" t="s">
        <v>0</v>
      </c>
      <c r="R160" s="7" t="s">
        <v>432</v>
      </c>
    </row>
    <row r="161" spans="1:18" ht="15.75" hidden="1" customHeight="1">
      <c r="A161" s="196" t="str">
        <f>HYPERLINK("http://sipi.sic.gov.co/sipi/View.ashx?4113758","SD2022/0034628")</f>
        <v>SD2022/0034628</v>
      </c>
      <c r="B161" s="8" t="s">
        <v>434</v>
      </c>
      <c r="C161" s="57" t="s">
        <v>7</v>
      </c>
      <c r="D161" s="104" t="s">
        <v>8</v>
      </c>
      <c r="E161" s="67"/>
      <c r="F161" s="68"/>
      <c r="G161" s="66" t="s">
        <v>6</v>
      </c>
      <c r="H161" s="66"/>
      <c r="I161" s="122"/>
      <c r="J161" s="68"/>
      <c r="K161" s="66" t="s">
        <v>6</v>
      </c>
      <c r="L161" s="66"/>
      <c r="M161" s="143" t="s">
        <v>1848</v>
      </c>
      <c r="N161" s="144" t="s">
        <v>6</v>
      </c>
      <c r="O161" s="6" t="s">
        <v>19</v>
      </c>
      <c r="P161" s="5" t="s">
        <v>431</v>
      </c>
      <c r="Q161" s="5" t="s">
        <v>0</v>
      </c>
      <c r="R161" s="7" t="s">
        <v>432</v>
      </c>
    </row>
    <row r="162" spans="1:18" ht="15.75" hidden="1" customHeight="1">
      <c r="A162" s="196" t="str">
        <f>HYPERLINK("http://sipi.sic.gov.co/sipi/View.ashx?4113766","SD2022/0034623")</f>
        <v>SD2022/0034623</v>
      </c>
      <c r="B162" s="8" t="s">
        <v>435</v>
      </c>
      <c r="C162" s="57" t="s">
        <v>7</v>
      </c>
      <c r="D162" s="104" t="s">
        <v>8</v>
      </c>
      <c r="E162" s="67"/>
      <c r="F162" s="68"/>
      <c r="G162" s="66" t="s">
        <v>6</v>
      </c>
      <c r="H162" s="66"/>
      <c r="I162" s="122"/>
      <c r="J162" s="68"/>
      <c r="K162" s="66" t="s">
        <v>6</v>
      </c>
      <c r="L162" s="66"/>
      <c r="M162" s="143" t="s">
        <v>1848</v>
      </c>
      <c r="N162" s="144" t="s">
        <v>6</v>
      </c>
      <c r="O162" s="6" t="s">
        <v>19</v>
      </c>
      <c r="P162" s="5" t="s">
        <v>431</v>
      </c>
      <c r="Q162" s="5" t="s">
        <v>0</v>
      </c>
      <c r="R162" s="7" t="s">
        <v>432</v>
      </c>
    </row>
    <row r="163" spans="1:18" ht="15.75" hidden="1" customHeight="1">
      <c r="A163" s="196" t="str">
        <f>HYPERLINK("http://sipi.sic.gov.co/sipi/View.ashx?4113935","SD2022/0034497")</f>
        <v>SD2022/0034497</v>
      </c>
      <c r="B163" s="8" t="s">
        <v>436</v>
      </c>
      <c r="C163" s="57" t="s">
        <v>13</v>
      </c>
      <c r="D163" s="104" t="s">
        <v>8</v>
      </c>
      <c r="E163" s="67"/>
      <c r="F163" s="68"/>
      <c r="G163" s="66" t="s">
        <v>6</v>
      </c>
      <c r="H163" s="66"/>
      <c r="I163" s="122"/>
      <c r="J163" s="68"/>
      <c r="K163" s="66" t="s">
        <v>6</v>
      </c>
      <c r="L163" s="66"/>
      <c r="M163" s="143" t="s">
        <v>1848</v>
      </c>
      <c r="N163" s="144" t="s">
        <v>6</v>
      </c>
      <c r="O163" s="6" t="s">
        <v>9</v>
      </c>
      <c r="P163" s="5" t="s">
        <v>428</v>
      </c>
      <c r="Q163" s="5" t="s">
        <v>0</v>
      </c>
      <c r="R163" s="7" t="s">
        <v>437</v>
      </c>
    </row>
    <row r="164" spans="1:18" ht="15.75" hidden="1" customHeight="1">
      <c r="A164" s="196" t="str">
        <f>HYPERLINK("http://sipi.sic.gov.co/sipi/View.ashx?4116889","SD2022/0035206")</f>
        <v>SD2022/0035206</v>
      </c>
      <c r="B164" s="8" t="s">
        <v>438</v>
      </c>
      <c r="C164" s="57" t="s">
        <v>13</v>
      </c>
      <c r="D164" s="104" t="s">
        <v>8</v>
      </c>
      <c r="E164" s="67"/>
      <c r="F164" s="68"/>
      <c r="G164" s="66" t="s">
        <v>6</v>
      </c>
      <c r="H164" s="66"/>
      <c r="I164" s="122"/>
      <c r="J164" s="68"/>
      <c r="K164" s="66" t="s">
        <v>6</v>
      </c>
      <c r="L164" s="66"/>
      <c r="M164" s="143" t="s">
        <v>1848</v>
      </c>
      <c r="N164" s="144" t="s">
        <v>6</v>
      </c>
      <c r="O164" s="6" t="s">
        <v>19</v>
      </c>
      <c r="P164" s="5" t="s">
        <v>439</v>
      </c>
      <c r="Q164" s="5" t="s">
        <v>23</v>
      </c>
      <c r="R164" s="7" t="s">
        <v>292</v>
      </c>
    </row>
    <row r="165" spans="1:18" ht="15.75" hidden="1" customHeight="1">
      <c r="A165" s="196" t="str">
        <f>HYPERLINK("http://sipi.sic.gov.co/sipi/View.ashx?4117228","SD2022/0035305")</f>
        <v>SD2022/0035305</v>
      </c>
      <c r="B165" s="8" t="s">
        <v>440</v>
      </c>
      <c r="C165" s="57" t="s">
        <v>13</v>
      </c>
      <c r="D165" s="104" t="s">
        <v>8</v>
      </c>
      <c r="E165" s="67"/>
      <c r="F165" s="68"/>
      <c r="G165" s="66" t="s">
        <v>6</v>
      </c>
      <c r="H165" s="66"/>
      <c r="I165" s="122"/>
      <c r="J165" s="68"/>
      <c r="K165" s="66" t="s">
        <v>6</v>
      </c>
      <c r="L165" s="66"/>
      <c r="M165" s="143" t="s">
        <v>1849</v>
      </c>
      <c r="N165" s="144" t="s">
        <v>6</v>
      </c>
      <c r="O165" s="6" t="s">
        <v>19</v>
      </c>
      <c r="P165" s="5" t="s">
        <v>441</v>
      </c>
      <c r="Q165" s="5" t="s">
        <v>23</v>
      </c>
      <c r="R165" s="7" t="s">
        <v>442</v>
      </c>
    </row>
    <row r="166" spans="1:18" ht="15.75" hidden="1" customHeight="1">
      <c r="A166" s="196" t="str">
        <f>HYPERLINK("http://sipi.sic.gov.co/sipi/View.ashx?4117236","SD2022/0035311")</f>
        <v>SD2022/0035311</v>
      </c>
      <c r="B166" s="8" t="s">
        <v>440</v>
      </c>
      <c r="C166" s="57" t="s">
        <v>13</v>
      </c>
      <c r="D166" s="104" t="s">
        <v>8</v>
      </c>
      <c r="E166" s="67"/>
      <c r="F166" s="68"/>
      <c r="G166" s="66" t="s">
        <v>6</v>
      </c>
      <c r="H166" s="66"/>
      <c r="I166" s="122"/>
      <c r="J166" s="68"/>
      <c r="K166" s="66" t="s">
        <v>6</v>
      </c>
      <c r="L166" s="66"/>
      <c r="M166" s="143" t="s">
        <v>1849</v>
      </c>
      <c r="N166" s="144" t="s">
        <v>6</v>
      </c>
      <c r="O166" s="6" t="s">
        <v>19</v>
      </c>
      <c r="P166" s="5" t="s">
        <v>441</v>
      </c>
      <c r="Q166" s="5" t="s">
        <v>23</v>
      </c>
      <c r="R166" s="7" t="s">
        <v>442</v>
      </c>
    </row>
    <row r="167" spans="1:18" ht="15.75" hidden="1" customHeight="1">
      <c r="A167" s="196" t="str">
        <f>HYPERLINK("http://sipi.sic.gov.co/sipi/View.ashx?4117465","SD2022/0035343")</f>
        <v>SD2022/0035343</v>
      </c>
      <c r="B167" s="8" t="s">
        <v>443</v>
      </c>
      <c r="C167" s="57" t="s">
        <v>13</v>
      </c>
      <c r="D167" s="104" t="s">
        <v>8</v>
      </c>
      <c r="E167" s="67"/>
      <c r="F167" s="68"/>
      <c r="G167" s="66" t="s">
        <v>6</v>
      </c>
      <c r="H167" s="66"/>
      <c r="I167" s="122"/>
      <c r="J167" s="68"/>
      <c r="K167" s="66" t="s">
        <v>6</v>
      </c>
      <c r="L167" s="66"/>
      <c r="M167" s="143" t="s">
        <v>1848</v>
      </c>
      <c r="N167" s="144" t="s">
        <v>6</v>
      </c>
      <c r="O167" s="6" t="s">
        <v>9</v>
      </c>
      <c r="P167" s="5" t="s">
        <v>444</v>
      </c>
      <c r="Q167" s="5" t="s">
        <v>0</v>
      </c>
      <c r="R167" s="7" t="s">
        <v>445</v>
      </c>
    </row>
    <row r="168" spans="1:18" ht="15.75" hidden="1" customHeight="1">
      <c r="A168" s="196" t="str">
        <f>HYPERLINK("http://sipi.sic.gov.co/sipi/View.ashx?4117546","SD2022/0035349")</f>
        <v>SD2022/0035349</v>
      </c>
      <c r="B168" s="8" t="s">
        <v>446</v>
      </c>
      <c r="C168" s="57" t="s">
        <v>13</v>
      </c>
      <c r="D168" s="104" t="s">
        <v>17</v>
      </c>
      <c r="E168" s="67" t="s">
        <v>1847</v>
      </c>
      <c r="F168" s="68"/>
      <c r="G168" s="66" t="s">
        <v>1850</v>
      </c>
      <c r="H168" s="66" t="s">
        <v>9</v>
      </c>
      <c r="I168" s="122"/>
      <c r="J168" s="68"/>
      <c r="K168" s="66" t="s">
        <v>6</v>
      </c>
      <c r="L168" s="66"/>
      <c r="M168" s="147" t="s">
        <v>1850</v>
      </c>
      <c r="N168" s="144" t="s">
        <v>6</v>
      </c>
      <c r="O168" s="6" t="s">
        <v>19</v>
      </c>
      <c r="P168" s="5" t="s">
        <v>447</v>
      </c>
      <c r="Q168" s="5" t="s">
        <v>0</v>
      </c>
      <c r="R168" s="7" t="s">
        <v>448</v>
      </c>
    </row>
    <row r="169" spans="1:18" ht="15.75" hidden="1" customHeight="1">
      <c r="A169" s="196" t="str">
        <f>HYPERLINK("http://sipi.sic.gov.co/sipi/View.ashx?4120489","SD2022/0040784")</f>
        <v>SD2022/0040784</v>
      </c>
      <c r="B169" s="8" t="s">
        <v>449</v>
      </c>
      <c r="C169" s="57" t="s">
        <v>13</v>
      </c>
      <c r="D169" s="104" t="s">
        <v>8</v>
      </c>
      <c r="E169" s="67"/>
      <c r="F169" s="68"/>
      <c r="G169" s="66" t="s">
        <v>6</v>
      </c>
      <c r="H169" s="66"/>
      <c r="I169" s="122"/>
      <c r="J169" s="68"/>
      <c r="K169" s="66" t="s">
        <v>6</v>
      </c>
      <c r="L169" s="66"/>
      <c r="M169" s="143" t="s">
        <v>1848</v>
      </c>
      <c r="N169" s="144" t="s">
        <v>6</v>
      </c>
      <c r="O169" s="6" t="s">
        <v>19</v>
      </c>
      <c r="P169" s="5" t="s">
        <v>450</v>
      </c>
      <c r="Q169" s="5" t="s">
        <v>0</v>
      </c>
      <c r="R169" s="7" t="s">
        <v>451</v>
      </c>
    </row>
    <row r="170" spans="1:18" ht="15.75" hidden="1" customHeight="1">
      <c r="A170" s="204" t="s">
        <v>452</v>
      </c>
      <c r="B170" s="8" t="s">
        <v>453</v>
      </c>
      <c r="C170" s="57" t="s">
        <v>7</v>
      </c>
      <c r="D170" s="104" t="s">
        <v>8</v>
      </c>
      <c r="E170" s="67"/>
      <c r="F170" s="68"/>
      <c r="G170" s="66" t="s">
        <v>6</v>
      </c>
      <c r="H170" s="66"/>
      <c r="I170" s="122"/>
      <c r="J170" s="68"/>
      <c r="K170" s="66" t="s">
        <v>6</v>
      </c>
      <c r="L170" s="66"/>
      <c r="M170" s="143" t="s">
        <v>1848</v>
      </c>
      <c r="N170" s="144" t="s">
        <v>6</v>
      </c>
      <c r="O170" s="6" t="s">
        <v>19</v>
      </c>
      <c r="P170" s="5" t="s">
        <v>454</v>
      </c>
      <c r="Q170" s="5" t="s">
        <v>0</v>
      </c>
      <c r="R170" s="7" t="s">
        <v>455</v>
      </c>
    </row>
    <row r="171" spans="1:18" ht="15.75" hidden="1" customHeight="1">
      <c r="A171" s="196" t="str">
        <f>HYPERLINK("http://sipi.sic.gov.co/sipi/View.ashx?4124904","SD2022/0037098")</f>
        <v>SD2022/0037098</v>
      </c>
      <c r="B171" s="8" t="s">
        <v>456</v>
      </c>
      <c r="C171" s="57" t="s">
        <v>7</v>
      </c>
      <c r="D171" s="104" t="s">
        <v>8</v>
      </c>
      <c r="E171" s="67"/>
      <c r="F171" s="68"/>
      <c r="G171" s="66" t="s">
        <v>6</v>
      </c>
      <c r="H171" s="66"/>
      <c r="I171" s="122"/>
      <c r="J171" s="68"/>
      <c r="K171" s="66" t="s">
        <v>6</v>
      </c>
      <c r="L171" s="66"/>
      <c r="M171" s="143" t="s">
        <v>1848</v>
      </c>
      <c r="N171" s="144" t="s">
        <v>6</v>
      </c>
      <c r="O171" s="6" t="s">
        <v>19</v>
      </c>
      <c r="P171" s="5" t="s">
        <v>457</v>
      </c>
      <c r="Q171" s="5" t="s">
        <v>0</v>
      </c>
      <c r="R171" s="7" t="s">
        <v>458</v>
      </c>
    </row>
    <row r="172" spans="1:18" ht="15.75" hidden="1" customHeight="1">
      <c r="A172" s="196" t="str">
        <f>HYPERLINK("http://sipi.sic.gov.co/sipi/View.ashx?4125239","SD2022/0037103")</f>
        <v>SD2022/0037103</v>
      </c>
      <c r="B172" s="8" t="s">
        <v>459</v>
      </c>
      <c r="C172" s="57" t="s">
        <v>7</v>
      </c>
      <c r="D172" s="104" t="s">
        <v>8</v>
      </c>
      <c r="E172" s="67"/>
      <c r="F172" s="68"/>
      <c r="G172" s="66" t="s">
        <v>6</v>
      </c>
      <c r="H172" s="66"/>
      <c r="I172" s="122"/>
      <c r="J172" s="68"/>
      <c r="K172" s="66" t="s">
        <v>6</v>
      </c>
      <c r="L172" s="66"/>
      <c r="M172" s="143" t="s">
        <v>1848</v>
      </c>
      <c r="N172" s="144" t="s">
        <v>6</v>
      </c>
      <c r="O172" s="6" t="s">
        <v>19</v>
      </c>
      <c r="P172" s="5" t="s">
        <v>457</v>
      </c>
      <c r="Q172" s="5" t="s">
        <v>0</v>
      </c>
      <c r="R172" s="7" t="s">
        <v>11</v>
      </c>
    </row>
    <row r="173" spans="1:18" ht="15.75" hidden="1" customHeight="1">
      <c r="A173" s="196" t="str">
        <f>HYPERLINK("http://sipi.sic.gov.co/sipi/View.ashx?4125303","SD2022/0037226")</f>
        <v>SD2022/0037226</v>
      </c>
      <c r="B173" s="8" t="s">
        <v>460</v>
      </c>
      <c r="C173" s="57" t="s">
        <v>7</v>
      </c>
      <c r="D173" s="104" t="s">
        <v>17</v>
      </c>
      <c r="E173" s="69" t="s">
        <v>405</v>
      </c>
      <c r="F173" s="68" t="s">
        <v>1729</v>
      </c>
      <c r="G173" s="66" t="s">
        <v>1848</v>
      </c>
      <c r="H173" s="66" t="s">
        <v>9</v>
      </c>
      <c r="I173" s="122"/>
      <c r="J173" s="68"/>
      <c r="K173" s="66" t="s">
        <v>6</v>
      </c>
      <c r="L173" s="66"/>
      <c r="M173" s="143" t="s">
        <v>1848</v>
      </c>
      <c r="N173" s="144" t="s">
        <v>6</v>
      </c>
      <c r="O173" s="6" t="s">
        <v>19</v>
      </c>
      <c r="P173" s="5" t="s">
        <v>457</v>
      </c>
      <c r="Q173" s="5" t="s">
        <v>0</v>
      </c>
      <c r="R173" s="7" t="s">
        <v>11</v>
      </c>
    </row>
    <row r="174" spans="1:18" ht="15.75" hidden="1" customHeight="1">
      <c r="A174" s="196" t="str">
        <f>HYPERLINK("http://sipi.sic.gov.co/sipi/View.ashx?4125340","SD2022/0037236")</f>
        <v>SD2022/0037236</v>
      </c>
      <c r="B174" s="8" t="s">
        <v>461</v>
      </c>
      <c r="C174" s="57" t="s">
        <v>7</v>
      </c>
      <c r="D174" s="104" t="s">
        <v>8</v>
      </c>
      <c r="E174" s="67"/>
      <c r="F174" s="68"/>
      <c r="G174" s="66" t="s">
        <v>6</v>
      </c>
      <c r="H174" s="66"/>
      <c r="I174" s="122"/>
      <c r="J174" s="68"/>
      <c r="K174" s="66" t="s">
        <v>6</v>
      </c>
      <c r="L174" s="66"/>
      <c r="M174" s="143" t="s">
        <v>1848</v>
      </c>
      <c r="N174" s="144" t="s">
        <v>6</v>
      </c>
      <c r="O174" s="6" t="s">
        <v>19</v>
      </c>
      <c r="P174" s="5" t="s">
        <v>457</v>
      </c>
      <c r="Q174" s="5" t="s">
        <v>0</v>
      </c>
      <c r="R174" s="7" t="s">
        <v>11</v>
      </c>
    </row>
    <row r="175" spans="1:18" ht="15.75" hidden="1" customHeight="1">
      <c r="A175" s="196" t="str">
        <f>HYPERLINK("http://sipi.sic.gov.co/sipi/View.ashx?4125728","SD2022/0037264")</f>
        <v>SD2022/0037264</v>
      </c>
      <c r="B175" s="8" t="s">
        <v>462</v>
      </c>
      <c r="C175" s="57" t="s">
        <v>7</v>
      </c>
      <c r="D175" s="104" t="s">
        <v>8</v>
      </c>
      <c r="E175" s="67"/>
      <c r="F175" s="68"/>
      <c r="G175" s="66" t="s">
        <v>6</v>
      </c>
      <c r="H175" s="66"/>
      <c r="I175" s="122"/>
      <c r="J175" s="68"/>
      <c r="K175" s="66" t="s">
        <v>6</v>
      </c>
      <c r="L175" s="66"/>
      <c r="M175" s="143" t="s">
        <v>1848</v>
      </c>
      <c r="N175" s="144" t="s">
        <v>6</v>
      </c>
      <c r="O175" s="6" t="s">
        <v>19</v>
      </c>
      <c r="P175" s="5" t="s">
        <v>457</v>
      </c>
      <c r="Q175" s="5" t="s">
        <v>0</v>
      </c>
      <c r="R175" s="7" t="s">
        <v>11</v>
      </c>
    </row>
    <row r="176" spans="1:18" ht="15.75" hidden="1" customHeight="1">
      <c r="A176" s="196" t="str">
        <f>HYPERLINK("http://sipi.sic.gov.co/sipi/View.ashx?4125757","SD2022/0037275")</f>
        <v>SD2022/0037275</v>
      </c>
      <c r="B176" s="8" t="s">
        <v>463</v>
      </c>
      <c r="C176" s="57" t="s">
        <v>7</v>
      </c>
      <c r="D176" s="104" t="s">
        <v>8</v>
      </c>
      <c r="E176" s="67"/>
      <c r="F176" s="68"/>
      <c r="G176" s="66" t="s">
        <v>6</v>
      </c>
      <c r="H176" s="66"/>
      <c r="I176" s="122"/>
      <c r="J176" s="68"/>
      <c r="K176" s="66" t="s">
        <v>6</v>
      </c>
      <c r="L176" s="66"/>
      <c r="M176" s="143" t="s">
        <v>1848</v>
      </c>
      <c r="N176" s="144" t="s">
        <v>6</v>
      </c>
      <c r="O176" s="6" t="s">
        <v>19</v>
      </c>
      <c r="P176" s="5" t="s">
        <v>457</v>
      </c>
      <c r="Q176" s="5" t="s">
        <v>0</v>
      </c>
      <c r="R176" s="7" t="s">
        <v>11</v>
      </c>
    </row>
    <row r="177" spans="1:18" ht="15.75" hidden="1" customHeight="1">
      <c r="A177" s="196" t="str">
        <f>HYPERLINK("http://sipi.sic.gov.co/sipi/View.ashx?4125793","SD2022/0037286")</f>
        <v>SD2022/0037286</v>
      </c>
      <c r="B177" s="8" t="s">
        <v>464</v>
      </c>
      <c r="C177" s="57" t="s">
        <v>7</v>
      </c>
      <c r="D177" s="104" t="s">
        <v>8</v>
      </c>
      <c r="E177" s="67"/>
      <c r="F177" s="68"/>
      <c r="G177" s="66" t="s">
        <v>6</v>
      </c>
      <c r="H177" s="66"/>
      <c r="I177" s="122"/>
      <c r="J177" s="68"/>
      <c r="K177" s="66" t="s">
        <v>6</v>
      </c>
      <c r="L177" s="66"/>
      <c r="M177" s="143" t="s">
        <v>1848</v>
      </c>
      <c r="N177" s="144" t="s">
        <v>6</v>
      </c>
      <c r="O177" s="6" t="s">
        <v>19</v>
      </c>
      <c r="P177" s="5" t="s">
        <v>457</v>
      </c>
      <c r="Q177" s="5" t="s">
        <v>0</v>
      </c>
      <c r="R177" s="7" t="s">
        <v>11</v>
      </c>
    </row>
    <row r="178" spans="1:18" ht="16.2" hidden="1" customHeight="1">
      <c r="A178" s="196" t="str">
        <f>HYPERLINK("http://sipi.sic.gov.co/sipi/View.ashx?4125834","SD2022/0037296")</f>
        <v>SD2022/0037296</v>
      </c>
      <c r="B178" s="8" t="s">
        <v>465</v>
      </c>
      <c r="C178" s="57" t="s">
        <v>7</v>
      </c>
      <c r="D178" s="104" t="s">
        <v>8</v>
      </c>
      <c r="E178" s="67"/>
      <c r="F178" s="68"/>
      <c r="G178" s="66" t="s">
        <v>6</v>
      </c>
      <c r="H178" s="66"/>
      <c r="I178" s="122"/>
      <c r="J178" s="68"/>
      <c r="K178" s="66" t="s">
        <v>6</v>
      </c>
      <c r="L178" s="66"/>
      <c r="M178" s="143" t="s">
        <v>1848</v>
      </c>
      <c r="N178" s="144" t="s">
        <v>6</v>
      </c>
      <c r="O178" s="6" t="s">
        <v>19</v>
      </c>
      <c r="P178" s="5" t="s">
        <v>457</v>
      </c>
      <c r="Q178" s="5" t="s">
        <v>0</v>
      </c>
      <c r="R178" s="7" t="s">
        <v>11</v>
      </c>
    </row>
    <row r="179" spans="1:18" ht="15.75" hidden="1" customHeight="1">
      <c r="A179" s="196" t="str">
        <f>HYPERLINK("http://sipi.sic.gov.co/sipi/View.ashx?4126108","SD2022/0037379")</f>
        <v>SD2022/0037379</v>
      </c>
      <c r="B179" s="8" t="s">
        <v>466</v>
      </c>
      <c r="C179" s="57" t="s">
        <v>13</v>
      </c>
      <c r="D179" s="104" t="s">
        <v>17</v>
      </c>
      <c r="E179" s="69" t="s">
        <v>467</v>
      </c>
      <c r="F179" s="68" t="s">
        <v>1731</v>
      </c>
      <c r="G179" s="66" t="s">
        <v>1848</v>
      </c>
      <c r="H179" s="66" t="s">
        <v>9</v>
      </c>
      <c r="I179" s="122"/>
      <c r="J179" s="68"/>
      <c r="K179" s="66" t="s">
        <v>6</v>
      </c>
      <c r="L179" s="66"/>
      <c r="M179" s="143" t="s">
        <v>1848</v>
      </c>
      <c r="N179" s="144" t="s">
        <v>6</v>
      </c>
      <c r="O179" s="6" t="s">
        <v>9</v>
      </c>
      <c r="P179" s="5" t="s">
        <v>468</v>
      </c>
      <c r="Q179" s="5" t="s">
        <v>0</v>
      </c>
      <c r="R179" s="7" t="s">
        <v>11</v>
      </c>
    </row>
    <row r="180" spans="1:18" ht="15.75" hidden="1" customHeight="1">
      <c r="A180" s="196" t="str">
        <f>HYPERLINK("http://sipi.sic.gov.co/sipi/View.ashx?4126865","SD2022/0039034")</f>
        <v>SD2022/0039034</v>
      </c>
      <c r="B180" s="8" t="s">
        <v>469</v>
      </c>
      <c r="C180" s="57" t="s">
        <v>13</v>
      </c>
      <c r="D180" s="104" t="s">
        <v>8</v>
      </c>
      <c r="E180" s="67"/>
      <c r="F180" s="68"/>
      <c r="G180" s="66" t="s">
        <v>6</v>
      </c>
      <c r="H180" s="66"/>
      <c r="I180" s="122"/>
      <c r="J180" s="68"/>
      <c r="K180" s="66" t="s">
        <v>6</v>
      </c>
      <c r="L180" s="66"/>
      <c r="M180" s="143" t="s">
        <v>1848</v>
      </c>
      <c r="N180" s="144" t="s">
        <v>6</v>
      </c>
      <c r="O180" s="6" t="s">
        <v>9</v>
      </c>
      <c r="P180" s="5" t="s">
        <v>470</v>
      </c>
      <c r="Q180" s="5" t="s">
        <v>0</v>
      </c>
      <c r="R180" s="7" t="s">
        <v>471</v>
      </c>
    </row>
    <row r="181" spans="1:18" ht="15.75" hidden="1" customHeight="1">
      <c r="A181" s="196" t="str">
        <f>HYPERLINK("http://sipi.sic.gov.co/sipi/View.ashx?4129436","SD2022/0038397")</f>
        <v>SD2022/0038397</v>
      </c>
      <c r="B181" s="8" t="s">
        <v>472</v>
      </c>
      <c r="C181" s="57" t="s">
        <v>13</v>
      </c>
      <c r="D181" s="104" t="s">
        <v>8</v>
      </c>
      <c r="E181" s="67"/>
      <c r="F181" s="68"/>
      <c r="G181" s="66" t="s">
        <v>6</v>
      </c>
      <c r="H181" s="66"/>
      <c r="I181" s="122"/>
      <c r="J181" s="68"/>
      <c r="K181" s="66" t="s">
        <v>6</v>
      </c>
      <c r="L181" s="66"/>
      <c r="M181" s="143" t="s">
        <v>1848</v>
      </c>
      <c r="N181" s="144" t="s">
        <v>6</v>
      </c>
      <c r="O181" s="6" t="s">
        <v>9</v>
      </c>
      <c r="P181" s="5" t="s">
        <v>189</v>
      </c>
      <c r="Q181" s="5" t="s">
        <v>0</v>
      </c>
      <c r="R181" s="7" t="s">
        <v>473</v>
      </c>
    </row>
    <row r="182" spans="1:18" ht="15.75" hidden="1" customHeight="1">
      <c r="A182" s="196" t="str">
        <f>HYPERLINK("http://sipi.sic.gov.co/sipi/View.ashx?4130320","SD2022/0038666")</f>
        <v>SD2022/0038666</v>
      </c>
      <c r="B182" s="8" t="s">
        <v>474</v>
      </c>
      <c r="C182" s="57" t="s">
        <v>13</v>
      </c>
      <c r="D182" s="104" t="s">
        <v>8</v>
      </c>
      <c r="E182" s="69"/>
      <c r="F182" s="68"/>
      <c r="G182" s="66" t="s">
        <v>6</v>
      </c>
      <c r="H182" s="66"/>
      <c r="I182" s="122"/>
      <c r="J182" s="68"/>
      <c r="K182" s="66" t="s">
        <v>6</v>
      </c>
      <c r="L182" s="66"/>
      <c r="M182" s="143" t="s">
        <v>1848</v>
      </c>
      <c r="N182" s="144" t="s">
        <v>6</v>
      </c>
      <c r="O182" s="6" t="s">
        <v>9</v>
      </c>
      <c r="P182" s="5" t="s">
        <v>412</v>
      </c>
      <c r="Q182" s="5" t="s">
        <v>413</v>
      </c>
      <c r="R182" s="7" t="s">
        <v>475</v>
      </c>
    </row>
    <row r="183" spans="1:18" ht="15.75" hidden="1" customHeight="1">
      <c r="A183" s="196" t="str">
        <f>HYPERLINK("http://sipi.sic.gov.co/sipi/View.ashx?4131505","SD2022/0039527")</f>
        <v>SD2022/0039527</v>
      </c>
      <c r="B183" s="8" t="s">
        <v>476</v>
      </c>
      <c r="C183" s="57" t="s">
        <v>7</v>
      </c>
      <c r="D183" s="104" t="s">
        <v>8</v>
      </c>
      <c r="E183" s="67"/>
      <c r="F183" s="68"/>
      <c r="G183" s="66" t="s">
        <v>6</v>
      </c>
      <c r="H183" s="66"/>
      <c r="I183" s="122"/>
      <c r="J183" s="68"/>
      <c r="K183" s="66" t="s">
        <v>6</v>
      </c>
      <c r="L183" s="66"/>
      <c r="M183" s="143" t="s">
        <v>1848</v>
      </c>
      <c r="N183" s="144" t="s">
        <v>6</v>
      </c>
      <c r="O183" s="6" t="s">
        <v>9</v>
      </c>
      <c r="P183" s="5" t="s">
        <v>477</v>
      </c>
      <c r="Q183" s="5" t="s">
        <v>106</v>
      </c>
      <c r="R183" s="7" t="s">
        <v>478</v>
      </c>
    </row>
    <row r="184" spans="1:18" ht="15.75" hidden="1" customHeight="1">
      <c r="A184" s="196" t="str">
        <f>HYPERLINK("http://sipi.sic.gov.co/sipi/View.ashx?4131732","SD2022/0039030")</f>
        <v>SD2022/0039030</v>
      </c>
      <c r="B184" s="8" t="s">
        <v>479</v>
      </c>
      <c r="C184" s="57" t="s">
        <v>7</v>
      </c>
      <c r="D184" s="104" t="s">
        <v>8</v>
      </c>
      <c r="E184" s="67"/>
      <c r="F184" s="68"/>
      <c r="G184" s="66" t="s">
        <v>6</v>
      </c>
      <c r="H184" s="66"/>
      <c r="I184" s="122"/>
      <c r="J184" s="68"/>
      <c r="K184" s="66" t="s">
        <v>6</v>
      </c>
      <c r="L184" s="66"/>
      <c r="M184" s="143" t="s">
        <v>1848</v>
      </c>
      <c r="N184" s="144" t="s">
        <v>6</v>
      </c>
      <c r="O184" s="6" t="s">
        <v>9</v>
      </c>
      <c r="P184" s="5" t="s">
        <v>480</v>
      </c>
      <c r="Q184" s="5" t="s">
        <v>0</v>
      </c>
      <c r="R184" s="7" t="s">
        <v>481</v>
      </c>
    </row>
    <row r="185" spans="1:18" ht="15.75" hidden="1" customHeight="1">
      <c r="A185" s="196" t="str">
        <f>HYPERLINK("http://sipi.sic.gov.co/sipi/View.ashx?4137000","SD2022/0040180")</f>
        <v>SD2022/0040180</v>
      </c>
      <c r="B185" s="8" t="s">
        <v>482</v>
      </c>
      <c r="C185" s="57" t="s">
        <v>7</v>
      </c>
      <c r="D185" s="104" t="s">
        <v>8</v>
      </c>
      <c r="E185" s="67"/>
      <c r="F185" s="68"/>
      <c r="G185" s="66" t="s">
        <v>6</v>
      </c>
      <c r="H185" s="66"/>
      <c r="I185" s="122"/>
      <c r="J185" s="68"/>
      <c r="K185" s="66" t="s">
        <v>6</v>
      </c>
      <c r="L185" s="66"/>
      <c r="M185" s="143" t="s">
        <v>1848</v>
      </c>
      <c r="N185" s="144" t="s">
        <v>6</v>
      </c>
      <c r="O185" s="6" t="s">
        <v>19</v>
      </c>
      <c r="P185" s="5" t="s">
        <v>483</v>
      </c>
      <c r="Q185" s="5" t="s">
        <v>0</v>
      </c>
      <c r="R185" s="7" t="s">
        <v>484</v>
      </c>
    </row>
    <row r="186" spans="1:18" ht="15.75" hidden="1" customHeight="1">
      <c r="A186" s="196" t="str">
        <f>HYPERLINK("http://sipi.sic.gov.co/sipi/View.ashx?4137271","SD2022/0040232")</f>
        <v>SD2022/0040232</v>
      </c>
      <c r="B186" s="8" t="s">
        <v>485</v>
      </c>
      <c r="C186" s="57" t="s">
        <v>13</v>
      </c>
      <c r="D186" s="104" t="s">
        <v>8</v>
      </c>
      <c r="E186" s="67"/>
      <c r="F186" s="68"/>
      <c r="G186" s="66" t="s">
        <v>6</v>
      </c>
      <c r="H186" s="66"/>
      <c r="I186" s="122"/>
      <c r="J186" s="68"/>
      <c r="K186" s="66" t="s">
        <v>6</v>
      </c>
      <c r="L186" s="66"/>
      <c r="M186" s="143" t="s">
        <v>1848</v>
      </c>
      <c r="N186" s="144" t="s">
        <v>6</v>
      </c>
      <c r="O186" s="6" t="s">
        <v>9</v>
      </c>
      <c r="P186" s="5" t="s">
        <v>486</v>
      </c>
      <c r="Q186" s="5" t="s">
        <v>0</v>
      </c>
      <c r="R186" s="7" t="s">
        <v>487</v>
      </c>
    </row>
    <row r="187" spans="1:18" ht="15.75" hidden="1" customHeight="1">
      <c r="A187" s="196" t="str">
        <f>HYPERLINK("http://sipi.sic.gov.co/sipi/View.ashx?4137664","SD2022/0040318")</f>
        <v>SD2022/0040318</v>
      </c>
      <c r="B187" s="8" t="s">
        <v>488</v>
      </c>
      <c r="C187" s="57" t="s">
        <v>13</v>
      </c>
      <c r="D187" s="104" t="s">
        <v>8</v>
      </c>
      <c r="E187" s="67"/>
      <c r="F187" s="68"/>
      <c r="G187" s="66" t="s">
        <v>6</v>
      </c>
      <c r="H187" s="66"/>
      <c r="I187" s="122"/>
      <c r="J187" s="68"/>
      <c r="K187" s="66" t="s">
        <v>6</v>
      </c>
      <c r="L187" s="66"/>
      <c r="M187" s="143" t="s">
        <v>1848</v>
      </c>
      <c r="N187" s="144" t="s">
        <v>6</v>
      </c>
      <c r="O187" s="6" t="s">
        <v>9</v>
      </c>
      <c r="P187" s="5" t="s">
        <v>489</v>
      </c>
      <c r="Q187" s="5" t="s">
        <v>490</v>
      </c>
      <c r="R187" s="7" t="s">
        <v>491</v>
      </c>
    </row>
    <row r="188" spans="1:18" ht="15.75" hidden="1" customHeight="1">
      <c r="A188" s="196" t="str">
        <f>HYPERLINK("http://sipi.sic.gov.co/sipi/View.ashx?4138044","SD2022/0040364")</f>
        <v>SD2022/0040364</v>
      </c>
      <c r="B188" s="8" t="s">
        <v>492</v>
      </c>
      <c r="C188" s="57" t="s">
        <v>7</v>
      </c>
      <c r="D188" s="104" t="s">
        <v>8</v>
      </c>
      <c r="E188" s="67"/>
      <c r="F188" s="68"/>
      <c r="G188" s="66" t="s">
        <v>6</v>
      </c>
      <c r="H188" s="66"/>
      <c r="I188" s="122"/>
      <c r="J188" s="68"/>
      <c r="K188" s="66" t="s">
        <v>6</v>
      </c>
      <c r="L188" s="66"/>
      <c r="M188" s="143" t="s">
        <v>1859</v>
      </c>
      <c r="N188" s="144" t="s">
        <v>6</v>
      </c>
      <c r="O188" s="6" t="s">
        <v>9</v>
      </c>
      <c r="P188" s="5" t="s">
        <v>493</v>
      </c>
      <c r="Q188" s="5" t="s">
        <v>0</v>
      </c>
      <c r="R188" s="7" t="s">
        <v>494</v>
      </c>
    </row>
    <row r="189" spans="1:18" ht="15.75" hidden="1" customHeight="1">
      <c r="A189" s="196" t="str">
        <f>HYPERLINK("http://sipi.sic.gov.co/sipi/View.ashx?4138054","SD2022/0040370")</f>
        <v>SD2022/0040370</v>
      </c>
      <c r="B189" s="8" t="s">
        <v>495</v>
      </c>
      <c r="C189" s="57" t="s">
        <v>7</v>
      </c>
      <c r="D189" s="104" t="s">
        <v>8</v>
      </c>
      <c r="E189" s="67"/>
      <c r="F189" s="68"/>
      <c r="G189" s="66" t="s">
        <v>6</v>
      </c>
      <c r="H189" s="66"/>
      <c r="I189" s="122"/>
      <c r="J189" s="68"/>
      <c r="K189" s="66" t="s">
        <v>6</v>
      </c>
      <c r="L189" s="66"/>
      <c r="M189" s="143" t="s">
        <v>1848</v>
      </c>
      <c r="N189" s="144" t="s">
        <v>6</v>
      </c>
      <c r="O189" s="6" t="s">
        <v>19</v>
      </c>
      <c r="P189" s="5" t="s">
        <v>493</v>
      </c>
      <c r="Q189" s="5" t="s">
        <v>0</v>
      </c>
      <c r="R189" s="7" t="s">
        <v>11</v>
      </c>
    </row>
    <row r="190" spans="1:18" ht="15.75" hidden="1" customHeight="1">
      <c r="A190" s="196" t="str">
        <f>HYPERLINK("http://sipi.sic.gov.co/sipi/View.ashx?4138797","SD2022/0040564")</f>
        <v>SD2022/0040564</v>
      </c>
      <c r="B190" s="8" t="s">
        <v>496</v>
      </c>
      <c r="C190" s="57" t="s">
        <v>13</v>
      </c>
      <c r="D190" s="104" t="s">
        <v>8</v>
      </c>
      <c r="E190" s="67"/>
      <c r="F190" s="68"/>
      <c r="G190" s="66" t="s">
        <v>6</v>
      </c>
      <c r="H190" s="66"/>
      <c r="I190" s="122"/>
      <c r="J190" s="68"/>
      <c r="K190" s="66" t="s">
        <v>6</v>
      </c>
      <c r="L190" s="66"/>
      <c r="M190" s="143" t="s">
        <v>1848</v>
      </c>
      <c r="N190" s="144" t="s">
        <v>6</v>
      </c>
      <c r="O190" s="6" t="s">
        <v>19</v>
      </c>
      <c r="P190" s="5" t="s">
        <v>497</v>
      </c>
      <c r="Q190" s="5" t="s">
        <v>0</v>
      </c>
      <c r="R190" s="7" t="s">
        <v>498</v>
      </c>
    </row>
    <row r="191" spans="1:18" ht="15.75" hidden="1" customHeight="1">
      <c r="A191" s="196" t="str">
        <f>HYPERLINK("http://sipi.sic.gov.co/sipi/View.ashx?4139034","SD2022/0040612")</f>
        <v>SD2022/0040612</v>
      </c>
      <c r="B191" s="8" t="s">
        <v>499</v>
      </c>
      <c r="C191" s="57" t="s">
        <v>13</v>
      </c>
      <c r="D191" s="104" t="s">
        <v>8</v>
      </c>
      <c r="E191" s="67"/>
      <c r="F191" s="68"/>
      <c r="G191" s="66" t="s">
        <v>6</v>
      </c>
      <c r="H191" s="66"/>
      <c r="I191" s="122"/>
      <c r="J191" s="68"/>
      <c r="K191" s="66" t="s">
        <v>6</v>
      </c>
      <c r="L191" s="66"/>
      <c r="M191" s="143" t="s">
        <v>1848</v>
      </c>
      <c r="N191" s="144" t="s">
        <v>6</v>
      </c>
      <c r="O191" s="6" t="s">
        <v>9</v>
      </c>
      <c r="P191" s="5" t="s">
        <v>500</v>
      </c>
      <c r="Q191" s="5" t="s">
        <v>0</v>
      </c>
      <c r="R191" s="7" t="s">
        <v>501</v>
      </c>
    </row>
    <row r="192" spans="1:18" ht="15.75" hidden="1" customHeight="1">
      <c r="A192" s="196" t="str">
        <f>HYPERLINK("http://sipi.sic.gov.co/sipi/View.ashx?4139590","SD2022/0040788")</f>
        <v>SD2022/0040788</v>
      </c>
      <c r="B192" s="8" t="s">
        <v>502</v>
      </c>
      <c r="C192" s="57" t="s">
        <v>7</v>
      </c>
      <c r="D192" s="104" t="s">
        <v>17</v>
      </c>
      <c r="E192" s="69" t="s">
        <v>503</v>
      </c>
      <c r="F192" s="68" t="s">
        <v>1732</v>
      </c>
      <c r="G192" s="66" t="s">
        <v>1848</v>
      </c>
      <c r="H192" s="66" t="s">
        <v>9</v>
      </c>
      <c r="I192" s="122"/>
      <c r="J192" s="68"/>
      <c r="K192" s="66" t="s">
        <v>6</v>
      </c>
      <c r="L192" s="66"/>
      <c r="M192" s="143" t="s">
        <v>1848</v>
      </c>
      <c r="N192" s="144" t="s">
        <v>6</v>
      </c>
      <c r="O192" s="6" t="s">
        <v>9</v>
      </c>
      <c r="P192" s="5" t="s">
        <v>504</v>
      </c>
      <c r="Q192" s="5" t="s">
        <v>0</v>
      </c>
      <c r="R192" s="7" t="s">
        <v>505</v>
      </c>
    </row>
    <row r="193" spans="1:18" ht="46.2" hidden="1" customHeight="1">
      <c r="A193" s="196" t="str">
        <f>HYPERLINK("http://sipi.sic.gov.co/sipi/View.ashx?4139668","SD2022/0040798")</f>
        <v>SD2022/0040798</v>
      </c>
      <c r="B193" s="8" t="s">
        <v>1863</v>
      </c>
      <c r="C193" s="57" t="s">
        <v>13</v>
      </c>
      <c r="D193" s="104" t="s">
        <v>8</v>
      </c>
      <c r="E193" s="67"/>
      <c r="F193" s="68"/>
      <c r="G193" s="66" t="s">
        <v>6</v>
      </c>
      <c r="H193" s="66"/>
      <c r="I193" s="122"/>
      <c r="J193" s="68"/>
      <c r="K193" s="66" t="s">
        <v>6</v>
      </c>
      <c r="L193" s="66"/>
      <c r="M193" s="143" t="s">
        <v>1848</v>
      </c>
      <c r="N193" s="144" t="s">
        <v>6</v>
      </c>
      <c r="O193" s="6" t="s">
        <v>9</v>
      </c>
      <c r="P193" s="5" t="s">
        <v>504</v>
      </c>
      <c r="Q193" s="5" t="s">
        <v>0</v>
      </c>
      <c r="R193" s="7" t="s">
        <v>505</v>
      </c>
    </row>
    <row r="194" spans="1:18" ht="15.75" hidden="1" customHeight="1">
      <c r="A194" s="196" t="str">
        <f>HYPERLINK("http://sipi.sic.gov.co/sipi/View.ashx?4139674","SD2022/0040796")</f>
        <v>SD2022/0040796</v>
      </c>
      <c r="B194" s="8" t="s">
        <v>506</v>
      </c>
      <c r="C194" s="57" t="s">
        <v>7</v>
      </c>
      <c r="D194" s="104" t="s">
        <v>8</v>
      </c>
      <c r="E194" s="67"/>
      <c r="F194" s="68"/>
      <c r="G194" s="66" t="s">
        <v>6</v>
      </c>
      <c r="H194" s="66"/>
      <c r="I194" s="122"/>
      <c r="J194" s="68"/>
      <c r="K194" s="66" t="s">
        <v>6</v>
      </c>
      <c r="L194" s="66"/>
      <c r="M194" s="143" t="s">
        <v>1848</v>
      </c>
      <c r="N194" s="144" t="s">
        <v>6</v>
      </c>
      <c r="O194" s="6" t="s">
        <v>19</v>
      </c>
      <c r="P194" s="5" t="s">
        <v>507</v>
      </c>
      <c r="Q194" s="5" t="s">
        <v>0</v>
      </c>
      <c r="R194" s="7" t="s">
        <v>508</v>
      </c>
    </row>
    <row r="195" spans="1:18" ht="15.75" hidden="1" customHeight="1">
      <c r="A195" s="196" t="str">
        <f>HYPERLINK("http://sipi.sic.gov.co/sipi/View.ashx?4139698","SD2022/0040802")</f>
        <v>SD2022/0040802</v>
      </c>
      <c r="B195" s="8" t="s">
        <v>509</v>
      </c>
      <c r="C195" s="57" t="s">
        <v>7</v>
      </c>
      <c r="D195" s="104" t="s">
        <v>8</v>
      </c>
      <c r="E195" s="67"/>
      <c r="F195" s="68"/>
      <c r="G195" s="66" t="s">
        <v>6</v>
      </c>
      <c r="H195" s="66"/>
      <c r="I195" s="122"/>
      <c r="J195" s="68"/>
      <c r="K195" s="66" t="s">
        <v>6</v>
      </c>
      <c r="L195" s="66"/>
      <c r="M195" s="143" t="s">
        <v>1848</v>
      </c>
      <c r="N195" s="144" t="s">
        <v>6</v>
      </c>
      <c r="O195" s="6" t="s">
        <v>19</v>
      </c>
      <c r="P195" s="5" t="s">
        <v>507</v>
      </c>
      <c r="Q195" s="5" t="s">
        <v>0</v>
      </c>
      <c r="R195" s="7" t="s">
        <v>510</v>
      </c>
    </row>
    <row r="196" spans="1:18" ht="15.75" hidden="1" customHeight="1">
      <c r="A196" s="196" t="str">
        <f>HYPERLINK("http://sipi.sic.gov.co/sipi/View.ashx?4139711","SD2022/0040805")</f>
        <v>SD2022/0040805</v>
      </c>
      <c r="B196" s="8" t="s">
        <v>511</v>
      </c>
      <c r="C196" s="57" t="s">
        <v>7</v>
      </c>
      <c r="D196" s="104" t="s">
        <v>8</v>
      </c>
      <c r="E196" s="67"/>
      <c r="F196" s="68"/>
      <c r="G196" s="66" t="s">
        <v>6</v>
      </c>
      <c r="H196" s="66"/>
      <c r="I196" s="122"/>
      <c r="J196" s="68"/>
      <c r="K196" s="66" t="s">
        <v>6</v>
      </c>
      <c r="L196" s="66"/>
      <c r="M196" s="143" t="s">
        <v>1848</v>
      </c>
      <c r="N196" s="144" t="s">
        <v>6</v>
      </c>
      <c r="O196" s="6" t="s">
        <v>19</v>
      </c>
      <c r="P196" s="5" t="s">
        <v>507</v>
      </c>
      <c r="Q196" s="5" t="s">
        <v>0</v>
      </c>
      <c r="R196" s="7" t="s">
        <v>510</v>
      </c>
    </row>
    <row r="197" spans="1:18" ht="15.75" hidden="1" customHeight="1">
      <c r="A197" s="196" t="str">
        <f>HYPERLINK("http://sipi.sic.gov.co/sipi/View.ashx?4139743","SD2022/0040844")</f>
        <v>SD2022/0040844</v>
      </c>
      <c r="B197" s="8" t="s">
        <v>512</v>
      </c>
      <c r="C197" s="57" t="s">
        <v>7</v>
      </c>
      <c r="D197" s="104" t="s">
        <v>8</v>
      </c>
      <c r="E197" s="67"/>
      <c r="F197" s="68"/>
      <c r="G197" s="66" t="s">
        <v>6</v>
      </c>
      <c r="H197" s="66"/>
      <c r="I197" s="122"/>
      <c r="J197" s="68"/>
      <c r="K197" s="66" t="s">
        <v>6</v>
      </c>
      <c r="L197" s="66"/>
      <c r="M197" s="143" t="s">
        <v>1848</v>
      </c>
      <c r="N197" s="144" t="s">
        <v>6</v>
      </c>
      <c r="O197" s="6" t="s">
        <v>19</v>
      </c>
      <c r="P197" s="5" t="s">
        <v>507</v>
      </c>
      <c r="Q197" s="5" t="s">
        <v>0</v>
      </c>
      <c r="R197" s="7" t="s">
        <v>510</v>
      </c>
    </row>
    <row r="198" spans="1:18" ht="15.75" hidden="1" customHeight="1">
      <c r="A198" s="196" t="str">
        <f>HYPERLINK("http://sipi.sic.gov.co/sipi/View.ashx?4139812","SD2022/0040933")</f>
        <v>SD2022/0040933</v>
      </c>
      <c r="B198" s="8" t="s">
        <v>513</v>
      </c>
      <c r="C198" s="57" t="s">
        <v>7</v>
      </c>
      <c r="D198" s="104" t="s">
        <v>17</v>
      </c>
      <c r="E198" s="69" t="s">
        <v>514</v>
      </c>
      <c r="F198" s="68" t="s">
        <v>1717</v>
      </c>
      <c r="G198" s="66" t="s">
        <v>1848</v>
      </c>
      <c r="H198" s="66" t="s">
        <v>9</v>
      </c>
      <c r="I198" s="122"/>
      <c r="J198" s="68"/>
      <c r="K198" s="66" t="s">
        <v>6</v>
      </c>
      <c r="L198" s="66"/>
      <c r="M198" s="143" t="s">
        <v>1848</v>
      </c>
      <c r="N198" s="144" t="s">
        <v>6</v>
      </c>
      <c r="O198" s="6" t="s">
        <v>19</v>
      </c>
      <c r="P198" s="5" t="s">
        <v>507</v>
      </c>
      <c r="Q198" s="5" t="s">
        <v>0</v>
      </c>
      <c r="R198" s="7" t="s">
        <v>510</v>
      </c>
    </row>
    <row r="199" spans="1:18" ht="15.75" hidden="1" customHeight="1">
      <c r="A199" s="196" t="str">
        <f>HYPERLINK("http://sipi.sic.gov.co/sipi/View.ashx?4142872","SD2022/0041714")</f>
        <v>SD2022/0041714</v>
      </c>
      <c r="B199" s="8" t="s">
        <v>515</v>
      </c>
      <c r="C199" s="57" t="s">
        <v>13</v>
      </c>
      <c r="D199" s="104" t="s">
        <v>8</v>
      </c>
      <c r="E199" s="67"/>
      <c r="F199" s="68"/>
      <c r="G199" s="66" t="s">
        <v>6</v>
      </c>
      <c r="H199" s="66"/>
      <c r="I199" s="122"/>
      <c r="J199" s="68"/>
      <c r="K199" s="66" t="s">
        <v>6</v>
      </c>
      <c r="L199" s="66"/>
      <c r="M199" s="143" t="s">
        <v>1848</v>
      </c>
      <c r="N199" s="144" t="s">
        <v>6</v>
      </c>
      <c r="O199" s="6" t="s">
        <v>19</v>
      </c>
      <c r="P199" s="5" t="s">
        <v>162</v>
      </c>
      <c r="Q199" s="5" t="s">
        <v>0</v>
      </c>
      <c r="R199" s="7" t="s">
        <v>516</v>
      </c>
    </row>
    <row r="200" spans="1:18" ht="15.75" hidden="1" customHeight="1">
      <c r="A200" s="196" t="str">
        <f>HYPERLINK("http://sipi.sic.gov.co/sipi/View.ashx?4143627","SD2022/0041920")</f>
        <v>SD2022/0041920</v>
      </c>
      <c r="B200" s="8" t="s">
        <v>517</v>
      </c>
      <c r="C200" s="57" t="s">
        <v>13</v>
      </c>
      <c r="D200" s="104" t="s">
        <v>8</v>
      </c>
      <c r="E200" s="67"/>
      <c r="F200" s="68"/>
      <c r="G200" s="66" t="s">
        <v>6</v>
      </c>
      <c r="H200" s="66"/>
      <c r="I200" s="122"/>
      <c r="J200" s="68"/>
      <c r="K200" s="66" t="s">
        <v>6</v>
      </c>
      <c r="L200" s="66"/>
      <c r="M200" s="143" t="s">
        <v>1848</v>
      </c>
      <c r="N200" s="144" t="s">
        <v>6</v>
      </c>
      <c r="O200" s="6" t="s">
        <v>9</v>
      </c>
      <c r="P200" s="5" t="s">
        <v>162</v>
      </c>
      <c r="Q200" s="5" t="s">
        <v>0</v>
      </c>
      <c r="R200" s="7" t="s">
        <v>163</v>
      </c>
    </row>
    <row r="201" spans="1:18" ht="15.75" hidden="1" customHeight="1">
      <c r="A201" s="196" t="str">
        <f>HYPERLINK("http://sipi.sic.gov.co/sipi/View.ashx?4144621","SD2022/0042136")</f>
        <v>SD2022/0042136</v>
      </c>
      <c r="B201" s="8" t="s">
        <v>518</v>
      </c>
      <c r="C201" s="57" t="s">
        <v>13</v>
      </c>
      <c r="D201" s="104" t="s">
        <v>8</v>
      </c>
      <c r="E201" s="67"/>
      <c r="F201" s="68"/>
      <c r="G201" s="66" t="s">
        <v>6</v>
      </c>
      <c r="H201" s="66"/>
      <c r="I201" s="122"/>
      <c r="J201" s="68"/>
      <c r="K201" s="66" t="s">
        <v>6</v>
      </c>
      <c r="L201" s="66"/>
      <c r="M201" s="143" t="s">
        <v>1848</v>
      </c>
      <c r="N201" s="144" t="s">
        <v>6</v>
      </c>
      <c r="O201" s="6" t="s">
        <v>9</v>
      </c>
      <c r="P201" s="5" t="s">
        <v>519</v>
      </c>
      <c r="Q201" s="5" t="s">
        <v>0</v>
      </c>
      <c r="R201" s="7" t="s">
        <v>520</v>
      </c>
    </row>
    <row r="202" spans="1:18" ht="15.75" hidden="1" customHeight="1">
      <c r="A202" s="196" t="str">
        <f>HYPERLINK("http://sipi.sic.gov.co/sipi/View.ashx?4144696","SD2022/0042150")</f>
        <v>SD2022/0042150</v>
      </c>
      <c r="B202" s="8" t="s">
        <v>521</v>
      </c>
      <c r="C202" s="57" t="s">
        <v>7</v>
      </c>
      <c r="D202" s="104" t="s">
        <v>8</v>
      </c>
      <c r="E202" s="67"/>
      <c r="F202" s="68"/>
      <c r="G202" s="66" t="s">
        <v>6</v>
      </c>
      <c r="H202" s="66"/>
      <c r="I202" s="122"/>
      <c r="J202" s="68"/>
      <c r="K202" s="66" t="s">
        <v>6</v>
      </c>
      <c r="L202" s="66"/>
      <c r="M202" s="143" t="s">
        <v>1848</v>
      </c>
      <c r="N202" s="144" t="s">
        <v>6</v>
      </c>
      <c r="O202" s="6" t="s">
        <v>9</v>
      </c>
      <c r="P202" s="5" t="s">
        <v>522</v>
      </c>
      <c r="Q202" s="5" t="s">
        <v>0</v>
      </c>
      <c r="R202" s="7" t="s">
        <v>523</v>
      </c>
    </row>
    <row r="203" spans="1:18" ht="15.75" customHeight="1">
      <c r="A203" s="232" t="str">
        <f>HYPERLINK("http://sipi.sic.gov.co/sipi/View.ashx?4147334","SD2022/0042747")</f>
        <v>SD2022/0042747</v>
      </c>
      <c r="B203" s="156" t="s">
        <v>524</v>
      </c>
      <c r="C203" s="159" t="s">
        <v>7</v>
      </c>
      <c r="D203" s="160" t="s">
        <v>17</v>
      </c>
      <c r="E203" s="178" t="s">
        <v>525</v>
      </c>
      <c r="F203" s="161" t="s">
        <v>1733</v>
      </c>
      <c r="G203" s="175" t="s">
        <v>1848</v>
      </c>
      <c r="H203" s="218" t="s">
        <v>9</v>
      </c>
      <c r="I203" s="225" t="s">
        <v>1445</v>
      </c>
      <c r="J203" s="179" t="s">
        <v>1748</v>
      </c>
      <c r="K203" s="66" t="s">
        <v>1848</v>
      </c>
      <c r="L203" s="66" t="s">
        <v>19</v>
      </c>
      <c r="M203" s="143" t="s">
        <v>6</v>
      </c>
      <c r="N203" s="144" t="s">
        <v>6</v>
      </c>
      <c r="O203" s="6"/>
      <c r="P203" s="5"/>
      <c r="Q203" s="5"/>
      <c r="R203" s="7"/>
    </row>
    <row r="204" spans="1:18" ht="15.75" customHeight="1">
      <c r="A204" s="201"/>
      <c r="B204" s="156" t="s">
        <v>524</v>
      </c>
      <c r="C204" s="159" t="s">
        <v>7</v>
      </c>
      <c r="D204" s="160" t="s">
        <v>17</v>
      </c>
      <c r="E204" s="180"/>
      <c r="F204" s="173"/>
      <c r="G204" s="181"/>
      <c r="H204" s="218"/>
      <c r="I204" s="225" t="s">
        <v>1445</v>
      </c>
      <c r="J204" s="179" t="s">
        <v>1748</v>
      </c>
      <c r="K204" s="66" t="s">
        <v>1849</v>
      </c>
      <c r="L204" s="66" t="s">
        <v>19</v>
      </c>
      <c r="M204" s="143" t="s">
        <v>6</v>
      </c>
      <c r="N204" s="144" t="s">
        <v>6</v>
      </c>
      <c r="O204" s="6"/>
      <c r="P204" s="5"/>
      <c r="Q204" s="5"/>
      <c r="R204" s="7"/>
    </row>
    <row r="205" spans="1:18" ht="15.75" customHeight="1">
      <c r="A205" s="198"/>
      <c r="B205" s="156" t="s">
        <v>524</v>
      </c>
      <c r="C205" s="159" t="s">
        <v>7</v>
      </c>
      <c r="D205" s="160" t="s">
        <v>17</v>
      </c>
      <c r="E205" s="182"/>
      <c r="F205" s="140"/>
      <c r="G205" s="177"/>
      <c r="H205" s="218"/>
      <c r="I205" s="225" t="s">
        <v>1445</v>
      </c>
      <c r="J205" s="179" t="s">
        <v>1748</v>
      </c>
      <c r="K205" s="66" t="s">
        <v>1857</v>
      </c>
      <c r="L205" s="119" t="s">
        <v>19</v>
      </c>
      <c r="M205" s="143" t="s">
        <v>1848</v>
      </c>
      <c r="N205" s="144" t="s">
        <v>6</v>
      </c>
      <c r="O205" s="6" t="s">
        <v>9</v>
      </c>
      <c r="P205" s="5" t="s">
        <v>526</v>
      </c>
      <c r="Q205" s="5" t="s">
        <v>0</v>
      </c>
      <c r="R205" s="7" t="s">
        <v>527</v>
      </c>
    </row>
    <row r="206" spans="1:18" ht="52.5" hidden="1" customHeight="1">
      <c r="A206" s="196" t="str">
        <f>HYPERLINK("http://sipi.sic.gov.co/sipi/View.ashx?4147570","SD2022/0042900")</f>
        <v>SD2022/0042900</v>
      </c>
      <c r="B206" s="8" t="s">
        <v>528</v>
      </c>
      <c r="C206" s="57" t="s">
        <v>13</v>
      </c>
      <c r="D206" s="104" t="s">
        <v>8</v>
      </c>
      <c r="E206" s="67"/>
      <c r="F206" s="68"/>
      <c r="G206" s="66" t="s">
        <v>6</v>
      </c>
      <c r="H206" s="66"/>
      <c r="I206" s="122"/>
      <c r="J206" s="68"/>
      <c r="K206" s="66" t="s">
        <v>6</v>
      </c>
      <c r="L206" s="66"/>
      <c r="M206" s="143" t="s">
        <v>1848</v>
      </c>
      <c r="N206" s="144" t="s">
        <v>6</v>
      </c>
      <c r="O206" s="6" t="s">
        <v>19</v>
      </c>
      <c r="P206" s="5" t="s">
        <v>529</v>
      </c>
      <c r="Q206" s="5" t="s">
        <v>0</v>
      </c>
      <c r="R206" s="7" t="s">
        <v>530</v>
      </c>
    </row>
    <row r="207" spans="1:18" ht="79.5" hidden="1" customHeight="1">
      <c r="A207" s="196" t="str">
        <f>HYPERLINK("http://sipi.sic.gov.co/sipi/View.ashx?4152520","SD2022/0044149")</f>
        <v>SD2022/0044149</v>
      </c>
      <c r="B207" s="8" t="s">
        <v>531</v>
      </c>
      <c r="C207" s="57" t="s">
        <v>13</v>
      </c>
      <c r="D207" s="104" t="s">
        <v>8</v>
      </c>
      <c r="E207" s="67"/>
      <c r="F207" s="68"/>
      <c r="G207" s="66" t="s">
        <v>6</v>
      </c>
      <c r="H207" s="66"/>
      <c r="I207" s="122"/>
      <c r="J207" s="68"/>
      <c r="K207" s="66" t="s">
        <v>6</v>
      </c>
      <c r="L207" s="66"/>
      <c r="M207" s="143" t="s">
        <v>1848</v>
      </c>
      <c r="N207" s="144" t="s">
        <v>6</v>
      </c>
      <c r="O207" s="6" t="s">
        <v>9</v>
      </c>
      <c r="P207" s="5" t="s">
        <v>532</v>
      </c>
      <c r="Q207" s="5" t="s">
        <v>0</v>
      </c>
      <c r="R207" s="7" t="s">
        <v>533</v>
      </c>
    </row>
    <row r="208" spans="1:18" ht="15.75" hidden="1" customHeight="1">
      <c r="A208" s="196" t="str">
        <f>HYPERLINK("http://sipi.sic.gov.co/sipi/View.ashx?4153818","SD2022/0044579")</f>
        <v>SD2022/0044579</v>
      </c>
      <c r="B208" s="8" t="s">
        <v>534</v>
      </c>
      <c r="C208" s="57" t="s">
        <v>7</v>
      </c>
      <c r="D208" s="104" t="s">
        <v>17</v>
      </c>
      <c r="E208" s="69" t="s">
        <v>535</v>
      </c>
      <c r="F208" s="68" t="s">
        <v>1734</v>
      </c>
      <c r="G208" s="66" t="s">
        <v>1848</v>
      </c>
      <c r="H208" s="66" t="s">
        <v>9</v>
      </c>
      <c r="I208" s="122"/>
      <c r="J208" s="68"/>
      <c r="K208" s="66" t="s">
        <v>6</v>
      </c>
      <c r="L208" s="66"/>
      <c r="M208" s="143" t="s">
        <v>1848</v>
      </c>
      <c r="N208" s="144" t="s">
        <v>6</v>
      </c>
      <c r="O208" s="6" t="s">
        <v>9</v>
      </c>
      <c r="P208" s="5" t="s">
        <v>536</v>
      </c>
      <c r="Q208" s="5" t="s">
        <v>0</v>
      </c>
      <c r="R208" s="7" t="s">
        <v>537</v>
      </c>
    </row>
    <row r="209" spans="1:18" ht="15.75" hidden="1" customHeight="1">
      <c r="A209" s="196" t="str">
        <f>HYPERLINK("http://sipi.sic.gov.co/sipi/View.ashx?4154002","SD2022/0044600")</f>
        <v>SD2022/0044600</v>
      </c>
      <c r="B209" s="8" t="s">
        <v>538</v>
      </c>
      <c r="C209" s="57" t="s">
        <v>7</v>
      </c>
      <c r="D209" s="104" t="s">
        <v>8</v>
      </c>
      <c r="E209" s="67"/>
      <c r="F209" s="68"/>
      <c r="G209" s="66" t="s">
        <v>6</v>
      </c>
      <c r="H209" s="66"/>
      <c r="I209" s="122"/>
      <c r="J209" s="68"/>
      <c r="K209" s="66" t="s">
        <v>6</v>
      </c>
      <c r="L209" s="66"/>
      <c r="M209" s="143" t="s">
        <v>1859</v>
      </c>
      <c r="N209" s="144" t="s">
        <v>6</v>
      </c>
      <c r="O209" s="6" t="s">
        <v>9</v>
      </c>
      <c r="P209" s="5" t="s">
        <v>539</v>
      </c>
      <c r="Q209" s="5" t="s">
        <v>540</v>
      </c>
      <c r="R209" s="7" t="s">
        <v>541</v>
      </c>
    </row>
    <row r="210" spans="1:18" ht="15.75" hidden="1" customHeight="1">
      <c r="A210" s="196" t="str">
        <f>HYPERLINK("http://sipi.sic.gov.co/sipi/View.ashx?4154106","SD2022/0044633")</f>
        <v>SD2022/0044633</v>
      </c>
      <c r="B210" s="8" t="s">
        <v>542</v>
      </c>
      <c r="C210" s="57" t="s">
        <v>7</v>
      </c>
      <c r="D210" s="104" t="s">
        <v>8</v>
      </c>
      <c r="E210" s="67"/>
      <c r="F210" s="68"/>
      <c r="G210" s="66" t="s">
        <v>6</v>
      </c>
      <c r="H210" s="66"/>
      <c r="I210" s="122"/>
      <c r="J210" s="68"/>
      <c r="K210" s="66" t="s">
        <v>6</v>
      </c>
      <c r="L210" s="66"/>
      <c r="M210" s="143" t="s">
        <v>1859</v>
      </c>
      <c r="N210" s="144" t="s">
        <v>6</v>
      </c>
      <c r="O210" s="6" t="s">
        <v>19</v>
      </c>
      <c r="P210" s="5" t="s">
        <v>539</v>
      </c>
      <c r="Q210" s="5" t="s">
        <v>0</v>
      </c>
      <c r="R210" s="7" t="s">
        <v>543</v>
      </c>
    </row>
    <row r="211" spans="1:18" ht="15.75" hidden="1" customHeight="1">
      <c r="A211" s="196" t="str">
        <f>HYPERLINK("http://sipi.sic.gov.co/sipi/View.ashx?4154294","SD2022/0044705")</f>
        <v>SD2022/0044705</v>
      </c>
      <c r="B211" s="8" t="s">
        <v>544</v>
      </c>
      <c r="C211" s="57" t="s">
        <v>13</v>
      </c>
      <c r="D211" s="104" t="s">
        <v>8</v>
      </c>
      <c r="E211" s="67"/>
      <c r="F211" s="68"/>
      <c r="G211" s="66" t="s">
        <v>6</v>
      </c>
      <c r="H211" s="66"/>
      <c r="I211" s="122"/>
      <c r="J211" s="68"/>
      <c r="K211" s="66" t="s">
        <v>6</v>
      </c>
      <c r="L211" s="66"/>
      <c r="M211" s="143" t="s">
        <v>1848</v>
      </c>
      <c r="N211" s="144" t="s">
        <v>6</v>
      </c>
      <c r="O211" s="6" t="s">
        <v>19</v>
      </c>
      <c r="P211" s="5" t="s">
        <v>545</v>
      </c>
      <c r="Q211" s="5" t="s">
        <v>63</v>
      </c>
      <c r="R211" s="7" t="s">
        <v>546</v>
      </c>
    </row>
    <row r="212" spans="1:18" ht="15.75" hidden="1" customHeight="1">
      <c r="A212" s="196" t="str">
        <f>HYPERLINK("http://sipi.sic.gov.co/sipi/View.ashx?4156674","SD2022/0045218")</f>
        <v>SD2022/0045218</v>
      </c>
      <c r="B212" s="8" t="s">
        <v>547</v>
      </c>
      <c r="C212" s="57" t="s">
        <v>7</v>
      </c>
      <c r="D212" s="104" t="s">
        <v>8</v>
      </c>
      <c r="E212" s="67"/>
      <c r="F212" s="68"/>
      <c r="G212" s="66" t="s">
        <v>6</v>
      </c>
      <c r="H212" s="66"/>
      <c r="I212" s="122"/>
      <c r="J212" s="68"/>
      <c r="K212" s="66" t="s">
        <v>6</v>
      </c>
      <c r="L212" s="66"/>
      <c r="M212" s="143" t="s">
        <v>1868</v>
      </c>
      <c r="N212" s="144" t="s">
        <v>6</v>
      </c>
      <c r="O212" s="6" t="s">
        <v>19</v>
      </c>
      <c r="P212" s="5" t="s">
        <v>548</v>
      </c>
      <c r="Q212" s="5" t="s">
        <v>0</v>
      </c>
      <c r="R212" s="7" t="s">
        <v>232</v>
      </c>
    </row>
    <row r="213" spans="1:18" ht="15.75" hidden="1" customHeight="1">
      <c r="A213" s="196" t="str">
        <f>HYPERLINK("http://sipi.sic.gov.co/sipi/View.ashx?4156994","SD2022/0045323")</f>
        <v>SD2022/0045323</v>
      </c>
      <c r="B213" s="8" t="s">
        <v>549</v>
      </c>
      <c r="C213" s="57" t="s">
        <v>7</v>
      </c>
      <c r="D213" s="104" t="s">
        <v>8</v>
      </c>
      <c r="E213" s="67"/>
      <c r="F213" s="68"/>
      <c r="G213" s="66" t="s">
        <v>6</v>
      </c>
      <c r="H213" s="66"/>
      <c r="I213" s="122"/>
      <c r="J213" s="68"/>
      <c r="K213" s="66" t="s">
        <v>6</v>
      </c>
      <c r="L213" s="66"/>
      <c r="M213" s="143" t="s">
        <v>1848</v>
      </c>
      <c r="N213" s="144" t="s">
        <v>6</v>
      </c>
      <c r="O213" s="6" t="s">
        <v>9</v>
      </c>
      <c r="P213" s="5" t="s">
        <v>550</v>
      </c>
      <c r="Q213" s="5" t="s">
        <v>0</v>
      </c>
      <c r="R213" s="7" t="s">
        <v>551</v>
      </c>
    </row>
    <row r="214" spans="1:18" ht="15.75" hidden="1" customHeight="1">
      <c r="A214" s="196" t="str">
        <f>HYPERLINK("http://sipi.sic.gov.co/sipi/View.ashx?4158499","SD2022/0045570")</f>
        <v>SD2022/0045570</v>
      </c>
      <c r="B214" s="8" t="s">
        <v>552</v>
      </c>
      <c r="C214" s="57" t="s">
        <v>13</v>
      </c>
      <c r="D214" s="104" t="s">
        <v>8</v>
      </c>
      <c r="E214" s="67"/>
      <c r="F214" s="68"/>
      <c r="G214" s="66" t="s">
        <v>6</v>
      </c>
      <c r="H214" s="66"/>
      <c r="I214" s="122"/>
      <c r="J214" s="68"/>
      <c r="K214" s="66" t="s">
        <v>6</v>
      </c>
      <c r="L214" s="66"/>
      <c r="M214" s="143" t="s">
        <v>1848</v>
      </c>
      <c r="N214" s="144" t="s">
        <v>6</v>
      </c>
      <c r="O214" s="6" t="s">
        <v>9</v>
      </c>
      <c r="P214" s="5" t="s">
        <v>350</v>
      </c>
      <c r="Q214" s="5" t="s">
        <v>0</v>
      </c>
      <c r="R214" s="7" t="s">
        <v>553</v>
      </c>
    </row>
    <row r="215" spans="1:18" ht="46.8" hidden="1" customHeight="1">
      <c r="A215" s="196" t="str">
        <f>HYPERLINK("http://sipi.sic.gov.co/sipi/View.ashx?4158551","SD2022/0045621")</f>
        <v>SD2022/0045621</v>
      </c>
      <c r="B215" s="8" t="s">
        <v>554</v>
      </c>
      <c r="C215" s="57" t="s">
        <v>13</v>
      </c>
      <c r="D215" s="104" t="s">
        <v>8</v>
      </c>
      <c r="E215" s="67"/>
      <c r="F215" s="68"/>
      <c r="G215" s="66" t="s">
        <v>6</v>
      </c>
      <c r="H215" s="66"/>
      <c r="I215" s="122"/>
      <c r="J215" s="68"/>
      <c r="K215" s="66" t="s">
        <v>6</v>
      </c>
      <c r="L215" s="66"/>
      <c r="M215" s="143" t="s">
        <v>1848</v>
      </c>
      <c r="N215" s="144" t="s">
        <v>6</v>
      </c>
      <c r="O215" s="6" t="s">
        <v>19</v>
      </c>
      <c r="P215" s="5" t="s">
        <v>555</v>
      </c>
      <c r="Q215" s="5" t="s">
        <v>556</v>
      </c>
      <c r="R215" s="7"/>
    </row>
    <row r="216" spans="1:18" ht="28.5" hidden="1" customHeight="1">
      <c r="A216" s="196" t="str">
        <f>HYPERLINK("http://sipi.sic.gov.co/sipi/View.ashx?4158729","SD2022/0045634")</f>
        <v>SD2022/0045634</v>
      </c>
      <c r="B216" s="8" t="s">
        <v>557</v>
      </c>
      <c r="C216" s="57" t="s">
        <v>7</v>
      </c>
      <c r="D216" s="104" t="s">
        <v>17</v>
      </c>
      <c r="E216" s="69" t="s">
        <v>558</v>
      </c>
      <c r="F216" s="68" t="s">
        <v>1725</v>
      </c>
      <c r="G216" s="66" t="s">
        <v>1848</v>
      </c>
      <c r="H216" s="66" t="s">
        <v>9</v>
      </c>
      <c r="I216" s="122"/>
      <c r="J216" s="68"/>
      <c r="K216" s="66" t="s">
        <v>6</v>
      </c>
      <c r="L216" s="66"/>
      <c r="M216" s="143" t="s">
        <v>1848</v>
      </c>
      <c r="N216" s="144" t="s">
        <v>6</v>
      </c>
      <c r="O216" s="6" t="s">
        <v>19</v>
      </c>
      <c r="P216" s="5" t="s">
        <v>559</v>
      </c>
      <c r="Q216" s="5" t="s">
        <v>0</v>
      </c>
      <c r="R216" s="7" t="s">
        <v>560</v>
      </c>
    </row>
    <row r="217" spans="1:18" ht="93" hidden="1" customHeight="1">
      <c r="A217" s="196" t="str">
        <f>HYPERLINK("http://sipi.sic.gov.co/sipi/View.ashx?4158795","SD2022/0045642")</f>
        <v>SD2022/0045642</v>
      </c>
      <c r="B217" s="8" t="s">
        <v>561</v>
      </c>
      <c r="C217" s="57" t="s">
        <v>13</v>
      </c>
      <c r="D217" s="104" t="s">
        <v>8</v>
      </c>
      <c r="E217" s="67"/>
      <c r="F217" s="68"/>
      <c r="G217" s="66" t="s">
        <v>6</v>
      </c>
      <c r="H217" s="66"/>
      <c r="I217" s="122"/>
      <c r="J217" s="68"/>
      <c r="K217" s="66" t="s">
        <v>6</v>
      </c>
      <c r="L217" s="66"/>
      <c r="M217" s="143" t="s">
        <v>1848</v>
      </c>
      <c r="N217" s="144" t="s">
        <v>6</v>
      </c>
      <c r="O217" s="6" t="s">
        <v>9</v>
      </c>
      <c r="P217" s="5" t="s">
        <v>562</v>
      </c>
      <c r="Q217" s="5" t="s">
        <v>23</v>
      </c>
      <c r="R217" s="7" t="s">
        <v>563</v>
      </c>
    </row>
    <row r="218" spans="1:18" ht="141" hidden="1" customHeight="1">
      <c r="A218" s="196" t="str">
        <f>HYPERLINK("http://sipi.sic.gov.co/sipi/View.ashx?4161582","SD2022/0046117")</f>
        <v>SD2022/0046117</v>
      </c>
      <c r="B218" s="8" t="s">
        <v>564</v>
      </c>
      <c r="C218" s="57" t="s">
        <v>13</v>
      </c>
      <c r="D218" s="104" t="s">
        <v>8</v>
      </c>
      <c r="E218" s="67"/>
      <c r="F218" s="68"/>
      <c r="G218" s="66" t="s">
        <v>6</v>
      </c>
      <c r="H218" s="66"/>
      <c r="I218" s="122"/>
      <c r="J218" s="68"/>
      <c r="K218" s="66" t="s">
        <v>6</v>
      </c>
      <c r="L218" s="66"/>
      <c r="M218" s="143" t="s">
        <v>1848</v>
      </c>
      <c r="N218" s="144" t="s">
        <v>6</v>
      </c>
      <c r="O218" s="6" t="s">
        <v>9</v>
      </c>
      <c r="P218" s="5" t="s">
        <v>565</v>
      </c>
      <c r="Q218" s="5" t="s">
        <v>0</v>
      </c>
      <c r="R218" s="7" t="s">
        <v>566</v>
      </c>
    </row>
    <row r="219" spans="1:18" ht="94.5" hidden="1" customHeight="1">
      <c r="A219" s="196" t="str">
        <f>HYPERLINK("http://sipi.sic.gov.co/sipi/View.ashx?4162846","SD2022/0046371")</f>
        <v>SD2022/0046371</v>
      </c>
      <c r="B219" s="8" t="s">
        <v>567</v>
      </c>
      <c r="C219" s="57" t="s">
        <v>13</v>
      </c>
      <c r="D219" s="104" t="s">
        <v>8</v>
      </c>
      <c r="E219" s="67"/>
      <c r="F219" s="68"/>
      <c r="G219" s="66" t="s">
        <v>6</v>
      </c>
      <c r="H219" s="66"/>
      <c r="I219" s="122"/>
      <c r="J219" s="68"/>
      <c r="K219" s="66" t="s">
        <v>6</v>
      </c>
      <c r="L219" s="66"/>
      <c r="M219" s="143" t="s">
        <v>1849</v>
      </c>
      <c r="N219" s="144" t="s">
        <v>6</v>
      </c>
      <c r="O219" s="6" t="s">
        <v>19</v>
      </c>
      <c r="P219" s="5" t="s">
        <v>568</v>
      </c>
      <c r="Q219" s="5" t="s">
        <v>58</v>
      </c>
      <c r="R219" s="7" t="s">
        <v>569</v>
      </c>
    </row>
    <row r="220" spans="1:18" ht="72" hidden="1" customHeight="1">
      <c r="A220" s="196" t="str">
        <f>HYPERLINK("http://sipi.sic.gov.co/sipi/View.ashx?4163224","SD2022/0046452")</f>
        <v>SD2022/0046452</v>
      </c>
      <c r="B220" s="8" t="s">
        <v>570</v>
      </c>
      <c r="C220" s="57" t="s">
        <v>13</v>
      </c>
      <c r="D220" s="104" t="s">
        <v>17</v>
      </c>
      <c r="E220" s="69" t="s">
        <v>571</v>
      </c>
      <c r="F220" s="68" t="s">
        <v>1735</v>
      </c>
      <c r="G220" s="66" t="s">
        <v>1848</v>
      </c>
      <c r="H220" s="66" t="s">
        <v>19</v>
      </c>
      <c r="I220" s="122"/>
      <c r="J220" s="68"/>
      <c r="K220" s="66" t="s">
        <v>6</v>
      </c>
      <c r="L220" s="66"/>
      <c r="M220" s="143" t="s">
        <v>1848</v>
      </c>
      <c r="N220" s="144" t="s">
        <v>6</v>
      </c>
      <c r="O220" s="6" t="s">
        <v>9</v>
      </c>
      <c r="P220" s="5" t="s">
        <v>572</v>
      </c>
      <c r="Q220" s="5" t="s">
        <v>0</v>
      </c>
      <c r="R220" s="7" t="s">
        <v>573</v>
      </c>
    </row>
    <row r="221" spans="1:18" ht="15.75" hidden="1" customHeight="1">
      <c r="A221" s="196" t="str">
        <f>HYPERLINK("http://sipi.sic.gov.co/sipi/View.ashx?4163375","SD2022/0046573")</f>
        <v>SD2022/0046573</v>
      </c>
      <c r="B221" s="8" t="s">
        <v>574</v>
      </c>
      <c r="C221" s="57" t="s">
        <v>7</v>
      </c>
      <c r="D221" s="104" t="s">
        <v>8</v>
      </c>
      <c r="E221" s="67"/>
      <c r="F221" s="68"/>
      <c r="G221" s="66" t="s">
        <v>6</v>
      </c>
      <c r="H221" s="66"/>
      <c r="I221" s="122"/>
      <c r="J221" s="68"/>
      <c r="K221" s="66" t="s">
        <v>6</v>
      </c>
      <c r="L221" s="66"/>
      <c r="M221" s="143" t="s">
        <v>1848</v>
      </c>
      <c r="N221" s="144" t="s">
        <v>6</v>
      </c>
      <c r="O221" s="6" t="s">
        <v>9</v>
      </c>
      <c r="P221" s="5" t="s">
        <v>575</v>
      </c>
      <c r="Q221" s="5" t="s">
        <v>0</v>
      </c>
      <c r="R221" s="7" t="s">
        <v>576</v>
      </c>
    </row>
    <row r="222" spans="1:18" ht="15.75" hidden="1" customHeight="1">
      <c r="A222" s="196" t="str">
        <f>HYPERLINK("http://sipi.sic.gov.co/sipi/View.ashx?4164053","SD2022/0046692")</f>
        <v>SD2022/0046692</v>
      </c>
      <c r="B222" s="8" t="s">
        <v>577</v>
      </c>
      <c r="C222" s="57" t="s">
        <v>578</v>
      </c>
      <c r="D222" s="104" t="s">
        <v>8</v>
      </c>
      <c r="E222" s="67"/>
      <c r="F222" s="68"/>
      <c r="G222" s="66" t="s">
        <v>6</v>
      </c>
      <c r="H222" s="66"/>
      <c r="I222" s="122"/>
      <c r="J222" s="68"/>
      <c r="K222" s="66" t="s">
        <v>6</v>
      </c>
      <c r="L222" s="66"/>
      <c r="M222" s="143" t="s">
        <v>1869</v>
      </c>
      <c r="N222" s="144" t="s">
        <v>6</v>
      </c>
      <c r="O222" s="6" t="s">
        <v>19</v>
      </c>
      <c r="P222" s="5" t="s">
        <v>579</v>
      </c>
      <c r="Q222" s="5" t="s">
        <v>0</v>
      </c>
      <c r="R222" s="7" t="s">
        <v>580</v>
      </c>
    </row>
    <row r="223" spans="1:18" ht="15.75" hidden="1" customHeight="1">
      <c r="A223" s="196" t="str">
        <f>HYPERLINK("http://sipi.sic.gov.co/sipi/View.ashx?4164064","SD2022/0047006")</f>
        <v>SD2022/0047006</v>
      </c>
      <c r="B223" s="8" t="s">
        <v>581</v>
      </c>
      <c r="C223" s="57" t="s">
        <v>7</v>
      </c>
      <c r="D223" s="104" t="s">
        <v>8</v>
      </c>
      <c r="E223" s="67"/>
      <c r="F223" s="68"/>
      <c r="G223" s="66" t="s">
        <v>6</v>
      </c>
      <c r="H223" s="66"/>
      <c r="I223" s="122"/>
      <c r="J223" s="68"/>
      <c r="K223" s="66" t="s">
        <v>6</v>
      </c>
      <c r="L223" s="66"/>
      <c r="M223" s="143" t="s">
        <v>1848</v>
      </c>
      <c r="N223" s="144" t="s">
        <v>6</v>
      </c>
      <c r="O223" s="6" t="s">
        <v>9</v>
      </c>
      <c r="P223" s="5" t="s">
        <v>582</v>
      </c>
      <c r="Q223" s="5" t="s">
        <v>0</v>
      </c>
      <c r="R223" s="7" t="s">
        <v>583</v>
      </c>
    </row>
    <row r="224" spans="1:18" ht="15.75" hidden="1" customHeight="1">
      <c r="A224" s="196" t="str">
        <f>HYPERLINK("http://sipi.sic.gov.co/sipi/View.ashx?4164072","SD2022/0047008")</f>
        <v>SD2022/0047008</v>
      </c>
      <c r="B224" s="8" t="s">
        <v>584</v>
      </c>
      <c r="C224" s="57" t="s">
        <v>7</v>
      </c>
      <c r="D224" s="104" t="s">
        <v>8</v>
      </c>
      <c r="E224" s="67"/>
      <c r="F224" s="68"/>
      <c r="G224" s="66" t="s">
        <v>6</v>
      </c>
      <c r="H224" s="66"/>
      <c r="I224" s="122"/>
      <c r="J224" s="68"/>
      <c r="K224" s="66" t="s">
        <v>6</v>
      </c>
      <c r="L224" s="66"/>
      <c r="M224" s="143" t="s">
        <v>1848</v>
      </c>
      <c r="N224" s="144" t="s">
        <v>6</v>
      </c>
      <c r="O224" s="6" t="s">
        <v>9</v>
      </c>
      <c r="P224" s="5" t="s">
        <v>582</v>
      </c>
      <c r="Q224" s="5" t="s">
        <v>0</v>
      </c>
      <c r="R224" s="7" t="s">
        <v>583</v>
      </c>
    </row>
    <row r="225" spans="1:18" ht="108.75" hidden="1" customHeight="1">
      <c r="A225" s="196" t="str">
        <f>HYPERLINK("http://sipi.sic.gov.co/sipi/View.ashx?4164093","SD2022/0047015")</f>
        <v>SD2022/0047015</v>
      </c>
      <c r="B225" s="8" t="s">
        <v>585</v>
      </c>
      <c r="C225" s="57" t="s">
        <v>7</v>
      </c>
      <c r="D225" s="104" t="s">
        <v>17</v>
      </c>
      <c r="E225" s="69" t="s">
        <v>586</v>
      </c>
      <c r="F225" s="68" t="s">
        <v>1737</v>
      </c>
      <c r="G225" s="66" t="s">
        <v>1848</v>
      </c>
      <c r="H225" s="66" t="s">
        <v>9</v>
      </c>
      <c r="I225" s="122"/>
      <c r="J225" s="68"/>
      <c r="K225" s="66" t="s">
        <v>6</v>
      </c>
      <c r="L225" s="66"/>
      <c r="M225" s="143" t="s">
        <v>1848</v>
      </c>
      <c r="N225" s="144" t="s">
        <v>6</v>
      </c>
      <c r="O225" s="6" t="s">
        <v>9</v>
      </c>
      <c r="P225" s="5" t="s">
        <v>582</v>
      </c>
      <c r="Q225" s="5" t="s">
        <v>0</v>
      </c>
      <c r="R225" s="7" t="s">
        <v>583</v>
      </c>
    </row>
    <row r="226" spans="1:18" ht="15.75" hidden="1" customHeight="1">
      <c r="A226" s="196" t="str">
        <f>HYPERLINK("http://sipi.sic.gov.co/sipi/View.ashx?4164101","SD2022/0047017")</f>
        <v>SD2022/0047017</v>
      </c>
      <c r="B226" s="8" t="s">
        <v>587</v>
      </c>
      <c r="C226" s="57" t="s">
        <v>7</v>
      </c>
      <c r="D226" s="104" t="s">
        <v>17</v>
      </c>
      <c r="E226" s="69" t="s">
        <v>588</v>
      </c>
      <c r="F226" s="68" t="s">
        <v>1738</v>
      </c>
      <c r="G226" s="66" t="s">
        <v>1848</v>
      </c>
      <c r="H226" s="66" t="s">
        <v>9</v>
      </c>
      <c r="I226" s="122"/>
      <c r="J226" s="68"/>
      <c r="K226" s="66" t="s">
        <v>6</v>
      </c>
      <c r="L226" s="66"/>
      <c r="M226" s="143" t="s">
        <v>1848</v>
      </c>
      <c r="N226" s="144" t="s">
        <v>6</v>
      </c>
      <c r="O226" s="6" t="s">
        <v>9</v>
      </c>
      <c r="P226" s="5" t="s">
        <v>582</v>
      </c>
      <c r="Q226" s="5" t="s">
        <v>0</v>
      </c>
      <c r="R226" s="7" t="s">
        <v>583</v>
      </c>
    </row>
    <row r="227" spans="1:18" ht="15.75" hidden="1" customHeight="1">
      <c r="A227" s="196" t="str">
        <f>HYPERLINK("http://sipi.sic.gov.co/sipi/View.ashx?4164105","SD2022/0047021")</f>
        <v>SD2022/0047021</v>
      </c>
      <c r="B227" s="8" t="s">
        <v>589</v>
      </c>
      <c r="C227" s="57" t="s">
        <v>7</v>
      </c>
      <c r="D227" s="104" t="s">
        <v>8</v>
      </c>
      <c r="E227" s="67"/>
      <c r="F227" s="68"/>
      <c r="G227" s="66" t="s">
        <v>6</v>
      </c>
      <c r="H227" s="66"/>
      <c r="I227" s="122"/>
      <c r="J227" s="68"/>
      <c r="K227" s="66" t="s">
        <v>6</v>
      </c>
      <c r="L227" s="66"/>
      <c r="M227" s="143" t="s">
        <v>1848</v>
      </c>
      <c r="N227" s="144" t="s">
        <v>6</v>
      </c>
      <c r="O227" s="6" t="s">
        <v>9</v>
      </c>
      <c r="P227" s="5" t="s">
        <v>582</v>
      </c>
      <c r="Q227" s="5" t="s">
        <v>0</v>
      </c>
      <c r="R227" s="7" t="s">
        <v>583</v>
      </c>
    </row>
    <row r="228" spans="1:18" ht="15.75" hidden="1" customHeight="1">
      <c r="A228" s="196" t="str">
        <f>HYPERLINK("http://sipi.sic.gov.co/sipi/View.ashx?4164114","SD2022/0047024")</f>
        <v>SD2022/0047024</v>
      </c>
      <c r="B228" s="8" t="s">
        <v>590</v>
      </c>
      <c r="C228" s="57" t="s">
        <v>7</v>
      </c>
      <c r="D228" s="104" t="s">
        <v>8</v>
      </c>
      <c r="E228" s="67"/>
      <c r="F228" s="68"/>
      <c r="G228" s="66" t="s">
        <v>6</v>
      </c>
      <c r="H228" s="66"/>
      <c r="I228" s="122"/>
      <c r="J228" s="68"/>
      <c r="K228" s="66" t="s">
        <v>6</v>
      </c>
      <c r="L228" s="66"/>
      <c r="M228" s="143" t="s">
        <v>1848</v>
      </c>
      <c r="N228" s="144" t="s">
        <v>6</v>
      </c>
      <c r="O228" s="6" t="s">
        <v>9</v>
      </c>
      <c r="P228" s="5" t="s">
        <v>582</v>
      </c>
      <c r="Q228" s="5" t="s">
        <v>0</v>
      </c>
      <c r="R228" s="7" t="s">
        <v>583</v>
      </c>
    </row>
    <row r="229" spans="1:18" ht="15.75" hidden="1" customHeight="1">
      <c r="A229" s="196" t="str">
        <f>HYPERLINK("http://sipi.sic.gov.co/sipi/View.ashx?4164153","SD2022/0047067")</f>
        <v>SD2022/0047067</v>
      </c>
      <c r="B229" s="8" t="s">
        <v>591</v>
      </c>
      <c r="C229" s="57" t="s">
        <v>7</v>
      </c>
      <c r="D229" s="104" t="s">
        <v>17</v>
      </c>
      <c r="E229" s="69" t="s">
        <v>592</v>
      </c>
      <c r="F229" s="68" t="s">
        <v>1739</v>
      </c>
      <c r="G229" s="66" t="s">
        <v>1848</v>
      </c>
      <c r="H229" s="66" t="s">
        <v>9</v>
      </c>
      <c r="I229" s="122"/>
      <c r="J229" s="68"/>
      <c r="K229" s="66" t="s">
        <v>6</v>
      </c>
      <c r="L229" s="66"/>
      <c r="M229" s="143" t="s">
        <v>1848</v>
      </c>
      <c r="N229" s="144" t="s">
        <v>6</v>
      </c>
      <c r="O229" s="6" t="s">
        <v>9</v>
      </c>
      <c r="P229" s="5" t="s">
        <v>582</v>
      </c>
      <c r="Q229" s="5" t="s">
        <v>0</v>
      </c>
      <c r="R229" s="7" t="s">
        <v>583</v>
      </c>
    </row>
    <row r="230" spans="1:18" ht="15.75" hidden="1" customHeight="1">
      <c r="A230" s="196" t="str">
        <f>HYPERLINK("http://sipi.sic.gov.co/sipi/View.ashx?4164163","SD2022/0047070")</f>
        <v>SD2022/0047070</v>
      </c>
      <c r="B230" s="8" t="s">
        <v>593</v>
      </c>
      <c r="C230" s="57" t="s">
        <v>7</v>
      </c>
      <c r="D230" s="104" t="s">
        <v>17</v>
      </c>
      <c r="E230" s="69" t="s">
        <v>592</v>
      </c>
      <c r="F230" s="68" t="s">
        <v>1739</v>
      </c>
      <c r="G230" s="66" t="s">
        <v>1848</v>
      </c>
      <c r="H230" s="66" t="s">
        <v>9</v>
      </c>
      <c r="I230" s="122"/>
      <c r="J230" s="68"/>
      <c r="K230" s="66" t="s">
        <v>6</v>
      </c>
      <c r="L230" s="66"/>
      <c r="M230" s="143" t="s">
        <v>1848</v>
      </c>
      <c r="N230" s="144" t="s">
        <v>6</v>
      </c>
      <c r="O230" s="6" t="s">
        <v>9</v>
      </c>
      <c r="P230" s="5" t="s">
        <v>582</v>
      </c>
      <c r="Q230" s="5" t="s">
        <v>0</v>
      </c>
      <c r="R230" s="7" t="s">
        <v>583</v>
      </c>
    </row>
    <row r="231" spans="1:18" ht="15.75" hidden="1" customHeight="1">
      <c r="A231" s="196" t="str">
        <f>HYPERLINK("http://sipi.sic.gov.co/sipi/View.ashx?4164179","SD2022/0047078")</f>
        <v>SD2022/0047078</v>
      </c>
      <c r="B231" s="8" t="s">
        <v>594</v>
      </c>
      <c r="C231" s="57" t="s">
        <v>7</v>
      </c>
      <c r="D231" s="104" t="s">
        <v>17</v>
      </c>
      <c r="E231" s="69" t="s">
        <v>595</v>
      </c>
      <c r="F231" s="68" t="s">
        <v>1718</v>
      </c>
      <c r="G231" s="66" t="s">
        <v>1848</v>
      </c>
      <c r="H231" s="66" t="s">
        <v>9</v>
      </c>
      <c r="I231" s="122"/>
      <c r="J231" s="68"/>
      <c r="K231" s="66" t="s">
        <v>6</v>
      </c>
      <c r="L231" s="66"/>
      <c r="M231" s="143" t="s">
        <v>1848</v>
      </c>
      <c r="N231" s="144" t="s">
        <v>6</v>
      </c>
      <c r="O231" s="6" t="s">
        <v>9</v>
      </c>
      <c r="P231" s="5" t="s">
        <v>582</v>
      </c>
      <c r="Q231" s="5" t="s">
        <v>0</v>
      </c>
      <c r="R231" s="7" t="s">
        <v>583</v>
      </c>
    </row>
    <row r="232" spans="1:18" ht="60" hidden="1" customHeight="1">
      <c r="A232" s="196" t="str">
        <f>HYPERLINK("http://sipi.sic.gov.co/sipi/View.ashx?4164870","SD2022/0046866")</f>
        <v>SD2022/0046866</v>
      </c>
      <c r="B232" s="8" t="s">
        <v>596</v>
      </c>
      <c r="C232" s="57" t="s">
        <v>13</v>
      </c>
      <c r="D232" s="104" t="s">
        <v>8</v>
      </c>
      <c r="E232" s="69"/>
      <c r="F232" s="68"/>
      <c r="G232" s="66" t="s">
        <v>6</v>
      </c>
      <c r="H232" s="66"/>
      <c r="I232" s="122"/>
      <c r="J232" s="68"/>
      <c r="K232" s="66" t="s">
        <v>6</v>
      </c>
      <c r="L232" s="66"/>
      <c r="M232" s="143" t="s">
        <v>1848</v>
      </c>
      <c r="N232" s="144" t="s">
        <v>6</v>
      </c>
      <c r="O232" s="6" t="s">
        <v>9</v>
      </c>
      <c r="P232" s="5" t="s">
        <v>597</v>
      </c>
      <c r="Q232" s="5" t="s">
        <v>0</v>
      </c>
      <c r="R232" s="7" t="s">
        <v>242</v>
      </c>
    </row>
    <row r="233" spans="1:18" ht="15.75" hidden="1" customHeight="1">
      <c r="A233" s="196" t="str">
        <f>HYPERLINK("http://sipi.sic.gov.co/sipi/View.ashx?4165485","SD2022/0047003")</f>
        <v>SD2022/0047003</v>
      </c>
      <c r="B233" s="8" t="s">
        <v>598</v>
      </c>
      <c r="C233" s="57" t="s">
        <v>7</v>
      </c>
      <c r="D233" s="104" t="s">
        <v>8</v>
      </c>
      <c r="E233" s="69"/>
      <c r="F233" s="68"/>
      <c r="G233" s="66" t="s">
        <v>6</v>
      </c>
      <c r="H233" s="66"/>
      <c r="I233" s="122"/>
      <c r="J233" s="68"/>
      <c r="K233" s="66" t="s">
        <v>6</v>
      </c>
      <c r="L233" s="66"/>
      <c r="M233" s="143" t="s">
        <v>1848</v>
      </c>
      <c r="N233" s="144" t="s">
        <v>6</v>
      </c>
      <c r="O233" s="6" t="s">
        <v>9</v>
      </c>
      <c r="P233" s="5" t="s">
        <v>582</v>
      </c>
      <c r="Q233" s="5" t="s">
        <v>0</v>
      </c>
      <c r="R233" s="7" t="s">
        <v>583</v>
      </c>
    </row>
    <row r="234" spans="1:18" ht="66" hidden="1" customHeight="1">
      <c r="A234" s="196" t="str">
        <f>HYPERLINK("http://sipi.sic.gov.co/sipi/View.ashx?4170672","SD2022/0048336")</f>
        <v>SD2022/0048336</v>
      </c>
      <c r="B234" s="8" t="s">
        <v>599</v>
      </c>
      <c r="C234" s="57" t="s">
        <v>13</v>
      </c>
      <c r="D234" s="104" t="s">
        <v>8</v>
      </c>
      <c r="E234" s="69"/>
      <c r="F234" s="68"/>
      <c r="G234" s="66" t="s">
        <v>6</v>
      </c>
      <c r="H234" s="66"/>
      <c r="I234" s="122"/>
      <c r="J234" s="68"/>
      <c r="K234" s="66" t="s">
        <v>6</v>
      </c>
      <c r="L234" s="66"/>
      <c r="M234" s="143" t="s">
        <v>1848</v>
      </c>
      <c r="N234" s="144" t="s">
        <v>6</v>
      </c>
      <c r="O234" s="6" t="s">
        <v>9</v>
      </c>
      <c r="P234" s="5" t="s">
        <v>600</v>
      </c>
      <c r="Q234" s="5" t="s">
        <v>0</v>
      </c>
      <c r="R234" s="7" t="s">
        <v>601</v>
      </c>
    </row>
    <row r="235" spans="1:18" ht="26.4" hidden="1" customHeight="1">
      <c r="A235" s="197" t="str">
        <f>HYPERLINK("http://sipi.sic.gov.co/sipi/View.ashx?4170922","SD2022/0050235")</f>
        <v>SD2022/0050235</v>
      </c>
      <c r="B235" s="156" t="s">
        <v>602</v>
      </c>
      <c r="C235" s="159" t="s">
        <v>13</v>
      </c>
      <c r="D235" s="160" t="s">
        <v>17</v>
      </c>
      <c r="E235" s="157" t="s">
        <v>603</v>
      </c>
      <c r="F235" s="161" t="s">
        <v>1740</v>
      </c>
      <c r="G235" s="66" t="s">
        <v>1855</v>
      </c>
      <c r="H235" s="66" t="s">
        <v>9</v>
      </c>
      <c r="I235" s="122"/>
      <c r="J235" s="68"/>
      <c r="K235" s="66"/>
      <c r="L235" s="66"/>
      <c r="M235" s="143" t="s">
        <v>6</v>
      </c>
      <c r="N235" s="144" t="s">
        <v>6</v>
      </c>
      <c r="O235" s="6"/>
      <c r="P235" s="5"/>
      <c r="Q235" s="5"/>
      <c r="R235" s="7"/>
    </row>
    <row r="236" spans="1:18" ht="15.75" hidden="1" customHeight="1">
      <c r="A236" s="198"/>
      <c r="B236" s="156" t="s">
        <v>602</v>
      </c>
      <c r="C236" s="159" t="s">
        <v>13</v>
      </c>
      <c r="D236" s="160" t="s">
        <v>17</v>
      </c>
      <c r="E236" s="157" t="s">
        <v>603</v>
      </c>
      <c r="F236" s="161" t="s">
        <v>1740</v>
      </c>
      <c r="G236" s="66" t="s">
        <v>1848</v>
      </c>
      <c r="H236" s="66" t="s">
        <v>19</v>
      </c>
      <c r="I236" s="124"/>
      <c r="J236" s="68"/>
      <c r="M236" s="143" t="s">
        <v>1855</v>
      </c>
      <c r="N236" s="144" t="s">
        <v>6</v>
      </c>
      <c r="O236" s="6" t="s">
        <v>19</v>
      </c>
      <c r="P236" s="5" t="s">
        <v>604</v>
      </c>
      <c r="Q236" s="5" t="s">
        <v>0</v>
      </c>
      <c r="R236" s="7" t="s">
        <v>605</v>
      </c>
    </row>
    <row r="237" spans="1:18" ht="15.75" hidden="1" customHeight="1">
      <c r="A237" s="197" t="str">
        <f>HYPERLINK("http://sipi.sic.gov.co/sipi/View.ashx?4172783","SD2022/0049055")</f>
        <v>SD2022/0049055</v>
      </c>
      <c r="B237" s="156" t="s">
        <v>606</v>
      </c>
      <c r="C237" s="159" t="s">
        <v>7</v>
      </c>
      <c r="D237" s="160" t="s">
        <v>17</v>
      </c>
      <c r="E237" s="157" t="s">
        <v>607</v>
      </c>
      <c r="F237" s="161" t="s">
        <v>1736</v>
      </c>
      <c r="G237" s="66" t="s">
        <v>1848</v>
      </c>
      <c r="H237" s="66" t="s">
        <v>9</v>
      </c>
      <c r="I237" s="124"/>
      <c r="J237" s="68"/>
      <c r="M237" s="143" t="s">
        <v>6</v>
      </c>
      <c r="N237" s="144" t="s">
        <v>6</v>
      </c>
      <c r="O237" s="6"/>
      <c r="P237" s="5"/>
      <c r="Q237" s="5"/>
      <c r="R237" s="7"/>
    </row>
    <row r="238" spans="1:18" ht="15.75" hidden="1" customHeight="1">
      <c r="A238" s="198"/>
      <c r="B238" s="156" t="s">
        <v>606</v>
      </c>
      <c r="C238" s="159" t="s">
        <v>7</v>
      </c>
      <c r="D238" s="160" t="s">
        <v>17</v>
      </c>
      <c r="E238" s="157" t="s">
        <v>607</v>
      </c>
      <c r="F238" s="161" t="s">
        <v>1736</v>
      </c>
      <c r="G238" s="66" t="s">
        <v>1849</v>
      </c>
      <c r="H238" s="66" t="s">
        <v>19</v>
      </c>
      <c r="I238" s="124"/>
      <c r="J238" s="68"/>
      <c r="M238" s="143" t="s">
        <v>1848</v>
      </c>
      <c r="N238" s="144" t="s">
        <v>6</v>
      </c>
      <c r="O238" s="6" t="s">
        <v>9</v>
      </c>
      <c r="P238" s="5" t="s">
        <v>66</v>
      </c>
      <c r="Q238" s="5" t="s">
        <v>0</v>
      </c>
      <c r="R238" s="7" t="s">
        <v>608</v>
      </c>
    </row>
    <row r="239" spans="1:18" ht="15.75" hidden="1" customHeight="1">
      <c r="A239" s="196" t="str">
        <f>HYPERLINK("http://sipi.sic.gov.co/sipi/View.ashx?4173801","SD2022/0049010")</f>
        <v>SD2022/0049010</v>
      </c>
      <c r="B239" s="8" t="s">
        <v>609</v>
      </c>
      <c r="C239" s="57" t="s">
        <v>13</v>
      </c>
      <c r="D239" s="104" t="s">
        <v>8</v>
      </c>
      <c r="E239" s="67"/>
      <c r="F239" s="68"/>
      <c r="G239" s="66" t="s">
        <v>6</v>
      </c>
      <c r="H239" s="66"/>
      <c r="I239" s="122"/>
      <c r="J239" s="68"/>
      <c r="K239" s="66" t="s">
        <v>6</v>
      </c>
      <c r="L239" s="66"/>
      <c r="M239" s="143" t="s">
        <v>1848</v>
      </c>
      <c r="N239" s="144" t="s">
        <v>6</v>
      </c>
      <c r="O239" s="6" t="s">
        <v>19</v>
      </c>
      <c r="P239" s="5" t="s">
        <v>610</v>
      </c>
      <c r="Q239" s="5" t="s">
        <v>0</v>
      </c>
      <c r="R239" s="7" t="s">
        <v>611</v>
      </c>
    </row>
    <row r="240" spans="1:18" ht="15.75" hidden="1" customHeight="1">
      <c r="A240" s="196" t="str">
        <f>HYPERLINK("http://sipi.sic.gov.co/sipi/View.ashx?4174849","SD2022/0049192")</f>
        <v>SD2022/0049192</v>
      </c>
      <c r="B240" s="8" t="s">
        <v>612</v>
      </c>
      <c r="C240" s="57" t="s">
        <v>7</v>
      </c>
      <c r="D240" s="104" t="s">
        <v>8</v>
      </c>
      <c r="E240" s="67"/>
      <c r="F240" s="68"/>
      <c r="G240" s="66" t="s">
        <v>6</v>
      </c>
      <c r="H240" s="66"/>
      <c r="I240" s="122"/>
      <c r="J240" s="68"/>
      <c r="K240" s="66" t="s">
        <v>6</v>
      </c>
      <c r="L240" s="66"/>
      <c r="M240" s="143" t="s">
        <v>1848</v>
      </c>
      <c r="N240" s="144" t="s">
        <v>6</v>
      </c>
      <c r="O240" s="6" t="s">
        <v>19</v>
      </c>
      <c r="P240" s="5" t="s">
        <v>613</v>
      </c>
      <c r="Q240" s="5" t="s">
        <v>0</v>
      </c>
      <c r="R240" s="7" t="s">
        <v>614</v>
      </c>
    </row>
    <row r="241" spans="1:18" ht="15.75" hidden="1" customHeight="1">
      <c r="A241" s="196" t="str">
        <f>HYPERLINK("http://sipi.sic.gov.co/sipi/View.ashx?4175184","SD2022/0049279")</f>
        <v>SD2022/0049279</v>
      </c>
      <c r="B241" s="8" t="s">
        <v>615</v>
      </c>
      <c r="C241" s="57" t="s">
        <v>13</v>
      </c>
      <c r="D241" s="104" t="s">
        <v>8</v>
      </c>
      <c r="E241" s="67"/>
      <c r="F241" s="68"/>
      <c r="G241" s="66" t="s">
        <v>6</v>
      </c>
      <c r="H241" s="66"/>
      <c r="I241" s="122"/>
      <c r="J241" s="68"/>
      <c r="K241" s="66" t="s">
        <v>6</v>
      </c>
      <c r="L241" s="66"/>
      <c r="M241" s="143" t="s">
        <v>1848</v>
      </c>
      <c r="N241" s="144" t="s">
        <v>6</v>
      </c>
      <c r="O241" s="6" t="s">
        <v>9</v>
      </c>
      <c r="P241" s="5" t="s">
        <v>616</v>
      </c>
      <c r="Q241" s="5" t="s">
        <v>0</v>
      </c>
      <c r="R241" s="7" t="s">
        <v>617</v>
      </c>
    </row>
    <row r="242" spans="1:18" ht="15.75" hidden="1" customHeight="1">
      <c r="A242" s="196" t="str">
        <f>HYPERLINK("http://sipi.sic.gov.co/sipi/View.ashx?4175534","SD2022/0049846")</f>
        <v>SD2022/0049846</v>
      </c>
      <c r="B242" s="8" t="s">
        <v>618</v>
      </c>
      <c r="C242" s="57" t="s">
        <v>13</v>
      </c>
      <c r="D242" s="104" t="s">
        <v>8</v>
      </c>
      <c r="E242" s="67"/>
      <c r="F242" s="68"/>
      <c r="G242" s="66" t="s">
        <v>6</v>
      </c>
      <c r="H242" s="66"/>
      <c r="I242" s="122"/>
      <c r="J242" s="68"/>
      <c r="K242" s="66" t="s">
        <v>6</v>
      </c>
      <c r="L242" s="66"/>
      <c r="M242" s="143" t="s">
        <v>1848</v>
      </c>
      <c r="N242" s="144" t="s">
        <v>6</v>
      </c>
      <c r="O242" s="6" t="s">
        <v>9</v>
      </c>
      <c r="P242" s="5" t="s">
        <v>616</v>
      </c>
      <c r="Q242" s="5" t="s">
        <v>0</v>
      </c>
      <c r="R242" s="7" t="s">
        <v>619</v>
      </c>
    </row>
    <row r="243" spans="1:18" ht="28.5" customHeight="1">
      <c r="A243" s="202" t="str">
        <f>HYPERLINK("http://sipi.sic.gov.co/sipi/View.ashx?4177375","SD2022/0049886")</f>
        <v>SD2022/0049886</v>
      </c>
      <c r="B243" s="14" t="s">
        <v>620</v>
      </c>
      <c r="C243" s="60" t="s">
        <v>13</v>
      </c>
      <c r="D243" s="107" t="s">
        <v>17</v>
      </c>
      <c r="E243" s="79" t="s">
        <v>621</v>
      </c>
      <c r="F243" s="80" t="s">
        <v>1741</v>
      </c>
      <c r="G243" s="66" t="s">
        <v>1848</v>
      </c>
      <c r="H243" s="78" t="s">
        <v>9</v>
      </c>
      <c r="I243" s="128" t="s">
        <v>622</v>
      </c>
      <c r="J243" s="80" t="s">
        <v>1825</v>
      </c>
      <c r="K243" s="66" t="s">
        <v>1848</v>
      </c>
      <c r="L243" s="78" t="s">
        <v>19</v>
      </c>
      <c r="M243" s="146" t="s">
        <v>1848</v>
      </c>
      <c r="N243" s="144" t="s">
        <v>6</v>
      </c>
      <c r="O243" s="16" t="s">
        <v>19</v>
      </c>
      <c r="P243" s="15" t="s">
        <v>623</v>
      </c>
      <c r="Q243" s="15" t="s">
        <v>0</v>
      </c>
      <c r="R243" s="17" t="s">
        <v>624</v>
      </c>
    </row>
    <row r="244" spans="1:18" ht="66" hidden="1" customHeight="1">
      <c r="A244" s="196" t="str">
        <f>HYPERLINK("http://sipi.sic.gov.co/sipi/View.ashx?4177545","SD2022/0049859")</f>
        <v>SD2022/0049859</v>
      </c>
      <c r="B244" s="8" t="s">
        <v>625</v>
      </c>
      <c r="C244" s="57" t="s">
        <v>13</v>
      </c>
      <c r="D244" s="104" t="s">
        <v>8</v>
      </c>
      <c r="E244" s="67"/>
      <c r="F244" s="68"/>
      <c r="G244" s="66" t="s">
        <v>6</v>
      </c>
      <c r="H244" s="66"/>
      <c r="I244" s="122"/>
      <c r="J244" s="68"/>
      <c r="K244" s="66" t="s">
        <v>6</v>
      </c>
      <c r="L244" s="66"/>
      <c r="M244" s="143" t="s">
        <v>1848</v>
      </c>
      <c r="N244" s="144" t="s">
        <v>6</v>
      </c>
      <c r="O244" s="6" t="s">
        <v>19</v>
      </c>
      <c r="P244" s="5" t="s">
        <v>626</v>
      </c>
      <c r="Q244" s="5" t="s">
        <v>0</v>
      </c>
      <c r="R244" s="7" t="s">
        <v>627</v>
      </c>
    </row>
    <row r="245" spans="1:18" ht="15.75" hidden="1" customHeight="1">
      <c r="A245" s="196" t="str">
        <f>HYPERLINK("http://sipi.sic.gov.co/sipi/View.ashx?4178876","SD2022/0050157")</f>
        <v>SD2022/0050157</v>
      </c>
      <c r="B245" s="8" t="s">
        <v>628</v>
      </c>
      <c r="C245" s="57" t="s">
        <v>7</v>
      </c>
      <c r="D245" s="104" t="s">
        <v>8</v>
      </c>
      <c r="E245" s="67"/>
      <c r="F245" s="68"/>
      <c r="G245" s="66" t="s">
        <v>6</v>
      </c>
      <c r="H245" s="66"/>
      <c r="I245" s="122"/>
      <c r="J245" s="68"/>
      <c r="K245" s="66" t="s">
        <v>6</v>
      </c>
      <c r="L245" s="66"/>
      <c r="M245" s="143" t="s">
        <v>1848</v>
      </c>
      <c r="N245" s="144" t="s">
        <v>6</v>
      </c>
      <c r="O245" s="6" t="s">
        <v>9</v>
      </c>
      <c r="P245" s="5" t="s">
        <v>629</v>
      </c>
      <c r="Q245" s="5" t="s">
        <v>0</v>
      </c>
      <c r="R245" s="7" t="s">
        <v>630</v>
      </c>
    </row>
    <row r="246" spans="1:18" ht="126" hidden="1" customHeight="1">
      <c r="A246" s="196" t="str">
        <f>HYPERLINK("http://sipi.sic.gov.co/sipi/View.ashx?4179485","SD2022/0050270")</f>
        <v>SD2022/0050270</v>
      </c>
      <c r="B246" s="8" t="s">
        <v>631</v>
      </c>
      <c r="C246" s="57" t="s">
        <v>13</v>
      </c>
      <c r="D246" s="104" t="s">
        <v>8</v>
      </c>
      <c r="E246" s="67"/>
      <c r="F246" s="68"/>
      <c r="G246" s="66" t="s">
        <v>6</v>
      </c>
      <c r="H246" s="66"/>
      <c r="I246" s="122"/>
      <c r="J246" s="68"/>
      <c r="K246" s="66" t="s">
        <v>6</v>
      </c>
      <c r="L246" s="66"/>
      <c r="M246" s="143" t="s">
        <v>1848</v>
      </c>
      <c r="N246" s="144" t="s">
        <v>6</v>
      </c>
      <c r="O246" s="6" t="s">
        <v>19</v>
      </c>
      <c r="P246" s="5" t="s">
        <v>632</v>
      </c>
      <c r="Q246" s="5" t="s">
        <v>0</v>
      </c>
      <c r="R246" s="7" t="s">
        <v>633</v>
      </c>
    </row>
    <row r="247" spans="1:18" ht="15.75" hidden="1" customHeight="1">
      <c r="A247" s="196" t="str">
        <f>HYPERLINK("http://sipi.sic.gov.co/sipi/View.ashx?4179557","SD2022/0050284")</f>
        <v>SD2022/0050284</v>
      </c>
      <c r="B247" s="8" t="s">
        <v>634</v>
      </c>
      <c r="C247" s="57" t="s">
        <v>13</v>
      </c>
      <c r="D247" s="104" t="s">
        <v>8</v>
      </c>
      <c r="E247" s="67"/>
      <c r="F247" s="68"/>
      <c r="G247" s="66" t="s">
        <v>6</v>
      </c>
      <c r="H247" s="66"/>
      <c r="I247" s="122"/>
      <c r="J247" s="68"/>
      <c r="K247" s="66" t="s">
        <v>6</v>
      </c>
      <c r="L247" s="66"/>
      <c r="M247" s="143" t="s">
        <v>1848</v>
      </c>
      <c r="N247" s="144" t="s">
        <v>6</v>
      </c>
      <c r="O247" s="6" t="s">
        <v>19</v>
      </c>
      <c r="P247" s="5" t="s">
        <v>635</v>
      </c>
      <c r="Q247" s="5" t="s">
        <v>636</v>
      </c>
      <c r="R247" s="7" t="s">
        <v>637</v>
      </c>
    </row>
    <row r="248" spans="1:18" ht="100.5" hidden="1" customHeight="1">
      <c r="A248" s="196" t="str">
        <f>HYPERLINK("http://sipi.sic.gov.co/sipi/View.ashx?4181703","SD2022/0050744")</f>
        <v>SD2022/0050744</v>
      </c>
      <c r="B248" s="8" t="s">
        <v>638</v>
      </c>
      <c r="C248" s="57" t="s">
        <v>13</v>
      </c>
      <c r="D248" s="104" t="s">
        <v>17</v>
      </c>
      <c r="E248" s="71" t="s">
        <v>639</v>
      </c>
      <c r="F248" s="68" t="s">
        <v>1719</v>
      </c>
      <c r="G248" s="66" t="s">
        <v>1848</v>
      </c>
      <c r="H248" s="66" t="s">
        <v>9</v>
      </c>
      <c r="I248" s="122"/>
      <c r="J248" s="68"/>
      <c r="K248" s="66" t="s">
        <v>6</v>
      </c>
      <c r="L248" s="66"/>
      <c r="M248" s="143" t="s">
        <v>1848</v>
      </c>
      <c r="N248" s="144" t="s">
        <v>6</v>
      </c>
      <c r="O248" s="6" t="s">
        <v>19</v>
      </c>
      <c r="P248" s="5" t="s">
        <v>640</v>
      </c>
      <c r="Q248" s="5" t="s">
        <v>0</v>
      </c>
      <c r="R248" s="7" t="s">
        <v>232</v>
      </c>
    </row>
    <row r="249" spans="1:18" ht="15.75" hidden="1" customHeight="1">
      <c r="A249" s="196" t="str">
        <f>HYPERLINK("http://sipi.sic.gov.co/sipi/View.ashx?4181770","SD2022/0050747")</f>
        <v>SD2022/0050747</v>
      </c>
      <c r="B249" s="8" t="s">
        <v>641</v>
      </c>
      <c r="C249" s="57" t="s">
        <v>7</v>
      </c>
      <c r="D249" s="104" t="s">
        <v>17</v>
      </c>
      <c r="E249" s="71" t="s">
        <v>642</v>
      </c>
      <c r="F249" s="68" t="s">
        <v>1742</v>
      </c>
      <c r="G249" s="66" t="s">
        <v>1848</v>
      </c>
      <c r="H249" s="66" t="s">
        <v>9</v>
      </c>
      <c r="I249" s="122"/>
      <c r="J249" s="68"/>
      <c r="K249" s="66" t="s">
        <v>6</v>
      </c>
      <c r="L249" s="66"/>
      <c r="M249" s="143" t="s">
        <v>1848</v>
      </c>
      <c r="N249" s="144" t="s">
        <v>6</v>
      </c>
      <c r="O249" s="6" t="s">
        <v>19</v>
      </c>
      <c r="P249" s="5" t="s">
        <v>643</v>
      </c>
      <c r="Q249" s="5" t="s">
        <v>0</v>
      </c>
      <c r="R249" s="7" t="s">
        <v>644</v>
      </c>
    </row>
    <row r="250" spans="1:18" ht="18.600000000000001" hidden="1" customHeight="1">
      <c r="A250" s="196" t="str">
        <f>HYPERLINK("http://sipi.sic.gov.co/sipi/View.ashx?4181951","SD2022/0050779")</f>
        <v>SD2022/0050779</v>
      </c>
      <c r="B250" s="8" t="s">
        <v>645</v>
      </c>
      <c r="C250" s="57" t="s">
        <v>7</v>
      </c>
      <c r="D250" s="104" t="s">
        <v>8</v>
      </c>
      <c r="E250" s="67"/>
      <c r="F250" s="68"/>
      <c r="G250" s="66" t="s">
        <v>6</v>
      </c>
      <c r="H250" s="66"/>
      <c r="I250" s="122"/>
      <c r="J250" s="68"/>
      <c r="K250" s="66" t="s">
        <v>6</v>
      </c>
      <c r="L250" s="66"/>
      <c r="M250" s="143" t="s">
        <v>1848</v>
      </c>
      <c r="N250" s="144" t="s">
        <v>6</v>
      </c>
      <c r="O250" s="6" t="s">
        <v>19</v>
      </c>
      <c r="P250" s="5" t="s">
        <v>423</v>
      </c>
      <c r="Q250" s="5" t="s">
        <v>0</v>
      </c>
      <c r="R250" s="7" t="s">
        <v>646</v>
      </c>
    </row>
    <row r="251" spans="1:18" ht="25.8" hidden="1" customHeight="1">
      <c r="A251" s="205" t="str">
        <f>HYPERLINK("http://sipi.sic.gov.co/sipi/View.ashx?4183623","SD2022/0051193")</f>
        <v>SD2022/0051193</v>
      </c>
      <c r="B251" s="18" t="s">
        <v>647</v>
      </c>
      <c r="C251" s="61" t="s">
        <v>7</v>
      </c>
      <c r="D251" s="108" t="s">
        <v>8</v>
      </c>
      <c r="E251" s="83"/>
      <c r="F251" s="84"/>
      <c r="G251" s="66" t="s">
        <v>6</v>
      </c>
      <c r="H251" s="82"/>
      <c r="I251" s="129"/>
      <c r="J251" s="84"/>
      <c r="K251" s="66" t="s">
        <v>6</v>
      </c>
      <c r="L251" s="82"/>
      <c r="M251" s="148" t="s">
        <v>1848</v>
      </c>
      <c r="N251" s="144" t="s">
        <v>6</v>
      </c>
      <c r="O251" s="20" t="s">
        <v>19</v>
      </c>
      <c r="P251" s="19" t="s">
        <v>648</v>
      </c>
      <c r="Q251" s="19" t="s">
        <v>0</v>
      </c>
      <c r="R251" s="21" t="s">
        <v>649</v>
      </c>
    </row>
    <row r="252" spans="1:18" ht="20.399999999999999" hidden="1" customHeight="1">
      <c r="A252" s="196" t="str">
        <f>HYPERLINK("http://sipi.sic.gov.co/sipi/View.ashx?4184527","SD2022/0051375")</f>
        <v>SD2022/0051375</v>
      </c>
      <c r="B252" s="8" t="s">
        <v>650</v>
      </c>
      <c r="C252" s="57" t="s">
        <v>7</v>
      </c>
      <c r="D252" s="104" t="s">
        <v>8</v>
      </c>
      <c r="E252" s="67"/>
      <c r="F252" s="68"/>
      <c r="G252" s="66" t="s">
        <v>6</v>
      </c>
      <c r="H252" s="66"/>
      <c r="I252" s="122"/>
      <c r="J252" s="68"/>
      <c r="K252" s="66" t="s">
        <v>6</v>
      </c>
      <c r="L252" s="66"/>
      <c r="M252" s="143" t="s">
        <v>1848</v>
      </c>
      <c r="N252" s="144" t="s">
        <v>6</v>
      </c>
      <c r="O252" s="6" t="s">
        <v>19</v>
      </c>
      <c r="P252" s="5" t="s">
        <v>648</v>
      </c>
      <c r="Q252" s="5" t="s">
        <v>0</v>
      </c>
      <c r="R252" s="7" t="s">
        <v>649</v>
      </c>
    </row>
    <row r="253" spans="1:18" ht="24" hidden="1" customHeight="1">
      <c r="A253" s="197" t="str">
        <f>HYPERLINK("http://sipi.sic.gov.co/sipi/View.ashx?4184768","SD2022/0051411")</f>
        <v>SD2022/0051411</v>
      </c>
      <c r="B253" s="156" t="s">
        <v>651</v>
      </c>
      <c r="C253" s="159" t="s">
        <v>13</v>
      </c>
      <c r="D253" s="160" t="s">
        <v>17</v>
      </c>
      <c r="E253" s="158" t="s">
        <v>652</v>
      </c>
      <c r="F253" s="161" t="s">
        <v>1743</v>
      </c>
      <c r="G253" s="66" t="s">
        <v>1848</v>
      </c>
      <c r="H253" s="66" t="s">
        <v>9</v>
      </c>
      <c r="I253" s="122"/>
      <c r="J253" s="68"/>
      <c r="K253" s="66"/>
      <c r="L253" s="66"/>
      <c r="M253" s="143" t="s">
        <v>6</v>
      </c>
      <c r="N253" s="144" t="s">
        <v>6</v>
      </c>
      <c r="O253" s="6"/>
      <c r="P253" s="5"/>
      <c r="Q253" s="5"/>
      <c r="R253" s="7"/>
    </row>
    <row r="254" spans="1:18" ht="39.6" hidden="1" customHeight="1">
      <c r="A254" s="198"/>
      <c r="B254" s="156" t="s">
        <v>651</v>
      </c>
      <c r="C254" s="159" t="s">
        <v>13</v>
      </c>
      <c r="D254" s="160" t="s">
        <v>17</v>
      </c>
      <c r="E254" s="158" t="s">
        <v>652</v>
      </c>
      <c r="F254" s="161" t="s">
        <v>1743</v>
      </c>
      <c r="G254" s="66" t="s">
        <v>1849</v>
      </c>
      <c r="H254" s="66" t="s">
        <v>19</v>
      </c>
      <c r="I254" s="130"/>
      <c r="J254" s="68"/>
      <c r="M254" s="143" t="s">
        <v>1848</v>
      </c>
      <c r="N254" s="144" t="s">
        <v>6</v>
      </c>
      <c r="O254" s="6" t="s">
        <v>9</v>
      </c>
      <c r="P254" s="5" t="s">
        <v>653</v>
      </c>
      <c r="Q254" s="5" t="s">
        <v>654</v>
      </c>
      <c r="R254" s="7" t="s">
        <v>655</v>
      </c>
    </row>
    <row r="255" spans="1:18" ht="39.6" hidden="1" customHeight="1">
      <c r="A255" s="197" t="str">
        <f>HYPERLINK("http://sipi.sic.gov.co/sipi/View.ashx?4184784","SD2022/0051416")</f>
        <v>SD2022/0051416</v>
      </c>
      <c r="B255" s="156" t="s">
        <v>656</v>
      </c>
      <c r="C255" s="159" t="s">
        <v>13</v>
      </c>
      <c r="D255" s="160" t="s">
        <v>17</v>
      </c>
      <c r="E255" s="158" t="s">
        <v>652</v>
      </c>
      <c r="F255" s="161" t="s">
        <v>1743</v>
      </c>
      <c r="G255" s="66" t="s">
        <v>1848</v>
      </c>
      <c r="H255" s="66" t="s">
        <v>9</v>
      </c>
      <c r="I255" s="130"/>
      <c r="J255" s="68"/>
      <c r="M255" s="143" t="s">
        <v>6</v>
      </c>
      <c r="N255" s="144" t="s">
        <v>6</v>
      </c>
      <c r="O255" s="6"/>
      <c r="P255" s="5"/>
      <c r="Q255" s="5"/>
      <c r="R255" s="7"/>
    </row>
    <row r="256" spans="1:18" ht="53.4" hidden="1" customHeight="1">
      <c r="A256" s="198"/>
      <c r="B256" s="156" t="s">
        <v>656</v>
      </c>
      <c r="C256" s="159" t="s">
        <v>13</v>
      </c>
      <c r="D256" s="160" t="s">
        <v>17</v>
      </c>
      <c r="E256" s="158" t="s">
        <v>652</v>
      </c>
      <c r="F256" s="161" t="s">
        <v>1743</v>
      </c>
      <c r="G256" s="66" t="s">
        <v>1849</v>
      </c>
      <c r="H256" s="66" t="s">
        <v>19</v>
      </c>
      <c r="I256" s="130"/>
      <c r="J256" s="68"/>
      <c r="M256" s="143" t="s">
        <v>1848</v>
      </c>
      <c r="N256" s="144" t="s">
        <v>6</v>
      </c>
      <c r="O256" s="6" t="s">
        <v>9</v>
      </c>
      <c r="P256" s="5" t="s">
        <v>653</v>
      </c>
      <c r="Q256" s="5" t="s">
        <v>654</v>
      </c>
      <c r="R256" s="7" t="s">
        <v>655</v>
      </c>
    </row>
    <row r="257" spans="1:18" ht="121.5" hidden="1" customHeight="1">
      <c r="A257" s="196" t="str">
        <f>HYPERLINK("http://sipi.sic.gov.co/sipi/View.ashx?4184804","SD2022/0051532")</f>
        <v>SD2022/0051532</v>
      </c>
      <c r="B257" s="8" t="s">
        <v>657</v>
      </c>
      <c r="C257" s="57" t="s">
        <v>13</v>
      </c>
      <c r="D257" s="104" t="s">
        <v>17</v>
      </c>
      <c r="E257" s="71" t="s">
        <v>642</v>
      </c>
      <c r="F257" s="68" t="s">
        <v>1742</v>
      </c>
      <c r="G257" s="66" t="s">
        <v>1848</v>
      </c>
      <c r="H257" s="66" t="s">
        <v>9</v>
      </c>
      <c r="I257" s="122"/>
      <c r="J257" s="68"/>
      <c r="K257" s="66" t="s">
        <v>6</v>
      </c>
      <c r="L257" s="66"/>
      <c r="M257" s="143" t="s">
        <v>1848</v>
      </c>
      <c r="N257" s="144" t="s">
        <v>6</v>
      </c>
      <c r="O257" s="6" t="s">
        <v>9</v>
      </c>
      <c r="P257" s="5" t="s">
        <v>643</v>
      </c>
      <c r="Q257" s="5" t="s">
        <v>0</v>
      </c>
      <c r="R257" s="7" t="s">
        <v>644</v>
      </c>
    </row>
    <row r="258" spans="1:18" ht="15.75" hidden="1" customHeight="1">
      <c r="A258" s="196" t="str">
        <f>HYPERLINK("http://sipi.sic.gov.co/sipi/View.ashx?4186640","SD2022/0052369")</f>
        <v>SD2022/0052369</v>
      </c>
      <c r="B258" s="8" t="s">
        <v>658</v>
      </c>
      <c r="C258" s="57" t="s">
        <v>7</v>
      </c>
      <c r="D258" s="104" t="s">
        <v>8</v>
      </c>
      <c r="E258" s="67"/>
      <c r="F258" s="68"/>
      <c r="G258" s="66" t="s">
        <v>6</v>
      </c>
      <c r="H258" s="66"/>
      <c r="I258" s="122"/>
      <c r="J258" s="68"/>
      <c r="K258" s="66" t="s">
        <v>6</v>
      </c>
      <c r="L258" s="66"/>
      <c r="M258" s="143" t="s">
        <v>1848</v>
      </c>
      <c r="N258" s="144" t="s">
        <v>6</v>
      </c>
      <c r="O258" s="6" t="s">
        <v>9</v>
      </c>
      <c r="P258" s="5" t="s">
        <v>659</v>
      </c>
      <c r="Q258" s="5" t="s">
        <v>0</v>
      </c>
      <c r="R258" s="7" t="s">
        <v>660</v>
      </c>
    </row>
    <row r="259" spans="1:18" ht="45" hidden="1" customHeight="1">
      <c r="A259" s="196" t="str">
        <f>HYPERLINK("http://sipi.sic.gov.co/sipi/View.ashx?4187127","SD2022/0051988")</f>
        <v>SD2022/0051988</v>
      </c>
      <c r="B259" s="8" t="s">
        <v>661</v>
      </c>
      <c r="C259" s="57" t="s">
        <v>13</v>
      </c>
      <c r="D259" s="104" t="s">
        <v>17</v>
      </c>
      <c r="E259" s="222" t="s">
        <v>390</v>
      </c>
      <c r="F259" s="68" t="s">
        <v>1744</v>
      </c>
      <c r="G259" s="66" t="s">
        <v>1848</v>
      </c>
      <c r="H259" s="66" t="s">
        <v>9</v>
      </c>
      <c r="I259" s="122"/>
      <c r="J259" s="68"/>
      <c r="K259" s="66" t="s">
        <v>6</v>
      </c>
      <c r="L259" s="66"/>
      <c r="M259" s="143" t="s">
        <v>1848</v>
      </c>
      <c r="N259" s="144" t="s">
        <v>6</v>
      </c>
      <c r="O259" s="6" t="s">
        <v>9</v>
      </c>
      <c r="P259" s="5" t="s">
        <v>662</v>
      </c>
      <c r="Q259" s="5" t="s">
        <v>0</v>
      </c>
      <c r="R259" s="7" t="s">
        <v>663</v>
      </c>
    </row>
    <row r="260" spans="1:18" ht="15.75" hidden="1" customHeight="1">
      <c r="A260" s="196" t="str">
        <f>HYPERLINK("http://sipi.sic.gov.co/sipi/View.ashx?4187407","SD2022/0052330")</f>
        <v>SD2022/0052330</v>
      </c>
      <c r="B260" s="8" t="s">
        <v>664</v>
      </c>
      <c r="C260" s="57" t="s">
        <v>7</v>
      </c>
      <c r="D260" s="104" t="s">
        <v>8</v>
      </c>
      <c r="E260" s="67"/>
      <c r="F260" s="68"/>
      <c r="G260" s="66" t="s">
        <v>6</v>
      </c>
      <c r="H260" s="66"/>
      <c r="I260" s="122"/>
      <c r="J260" s="68"/>
      <c r="K260" s="66" t="s">
        <v>6</v>
      </c>
      <c r="L260" s="66"/>
      <c r="M260" s="143" t="s">
        <v>1848</v>
      </c>
      <c r="N260" s="144" t="s">
        <v>6</v>
      </c>
      <c r="O260" s="6" t="s">
        <v>9</v>
      </c>
      <c r="P260" s="5" t="s">
        <v>659</v>
      </c>
      <c r="Q260" s="5" t="s">
        <v>0</v>
      </c>
      <c r="R260" s="7" t="s">
        <v>665</v>
      </c>
    </row>
    <row r="261" spans="1:18" ht="15.75" hidden="1" customHeight="1">
      <c r="A261" s="196" t="str">
        <f>HYPERLINK("http://sipi.sic.gov.co/sipi/View.ashx?4187427","SD2022/0052321")</f>
        <v>SD2022/0052321</v>
      </c>
      <c r="B261" s="8" t="s">
        <v>666</v>
      </c>
      <c r="C261" s="57" t="s">
        <v>7</v>
      </c>
      <c r="D261" s="104" t="s">
        <v>8</v>
      </c>
      <c r="E261" s="67"/>
      <c r="F261" s="68"/>
      <c r="G261" s="66" t="s">
        <v>6</v>
      </c>
      <c r="H261" s="66"/>
      <c r="I261" s="122"/>
      <c r="J261" s="68"/>
      <c r="K261" s="66" t="s">
        <v>6</v>
      </c>
      <c r="L261" s="66"/>
      <c r="M261" s="143" t="s">
        <v>1848</v>
      </c>
      <c r="N261" s="144" t="s">
        <v>6</v>
      </c>
      <c r="O261" s="6" t="s">
        <v>19</v>
      </c>
      <c r="P261" s="5" t="s">
        <v>659</v>
      </c>
      <c r="Q261" s="5" t="s">
        <v>0</v>
      </c>
      <c r="R261" s="7" t="s">
        <v>665</v>
      </c>
    </row>
    <row r="262" spans="1:18" ht="154.5" hidden="1" customHeight="1">
      <c r="A262" s="196" t="str">
        <f>HYPERLINK("http://sipi.sic.gov.co/sipi/View.ashx?4187593","SD2022/0052134")</f>
        <v>SD2022/0052134</v>
      </c>
      <c r="B262" s="8" t="s">
        <v>667</v>
      </c>
      <c r="C262" s="57" t="s">
        <v>13</v>
      </c>
      <c r="D262" s="104" t="s">
        <v>8</v>
      </c>
      <c r="E262" s="67"/>
      <c r="F262" s="68"/>
      <c r="G262" s="66" t="s">
        <v>6</v>
      </c>
      <c r="H262" s="66"/>
      <c r="I262" s="122"/>
      <c r="J262" s="68"/>
      <c r="K262" s="66" t="s">
        <v>6</v>
      </c>
      <c r="L262" s="66"/>
      <c r="M262" s="143" t="s">
        <v>1848</v>
      </c>
      <c r="N262" s="144" t="s">
        <v>6</v>
      </c>
      <c r="O262" s="6" t="s">
        <v>19</v>
      </c>
      <c r="P262" s="5" t="s">
        <v>668</v>
      </c>
      <c r="Q262" s="5" t="s">
        <v>540</v>
      </c>
      <c r="R262" s="7" t="s">
        <v>669</v>
      </c>
    </row>
    <row r="263" spans="1:18" ht="37.5" hidden="1" customHeight="1">
      <c r="A263" s="196" t="str">
        <f>HYPERLINK("http://sipi.sic.gov.co/sipi/View.ashx?4189124","SD2022/0052468")</f>
        <v>SD2022/0052468</v>
      </c>
      <c r="B263" s="8" t="s">
        <v>670</v>
      </c>
      <c r="C263" s="57" t="s">
        <v>13</v>
      </c>
      <c r="D263" s="104" t="s">
        <v>17</v>
      </c>
      <c r="E263" s="71" t="s">
        <v>671</v>
      </c>
      <c r="F263" s="68" t="s">
        <v>1745</v>
      </c>
      <c r="G263" s="66" t="s">
        <v>1848</v>
      </c>
      <c r="H263" s="66" t="s">
        <v>9</v>
      </c>
      <c r="I263" s="122"/>
      <c r="J263" s="68"/>
      <c r="K263" s="66" t="s">
        <v>6</v>
      </c>
      <c r="L263" s="66"/>
      <c r="M263" s="143" t="s">
        <v>1848</v>
      </c>
      <c r="N263" s="144" t="s">
        <v>6</v>
      </c>
      <c r="O263" s="6" t="s">
        <v>19</v>
      </c>
      <c r="P263" s="5" t="s">
        <v>672</v>
      </c>
      <c r="Q263" s="5" t="s">
        <v>23</v>
      </c>
      <c r="R263" s="7" t="s">
        <v>673</v>
      </c>
    </row>
    <row r="264" spans="1:18" ht="37.5" hidden="1" customHeight="1">
      <c r="A264" s="197" t="str">
        <f>HYPERLINK("http://sipi.sic.gov.co/sipi/View.ashx?4189340","SD2022/0052534")</f>
        <v>SD2022/0052534</v>
      </c>
      <c r="B264" s="156" t="s">
        <v>674</v>
      </c>
      <c r="C264" s="159" t="s">
        <v>13</v>
      </c>
      <c r="D264" s="160" t="s">
        <v>17</v>
      </c>
      <c r="E264" s="219" t="s">
        <v>267</v>
      </c>
      <c r="F264" s="161" t="s">
        <v>1722</v>
      </c>
      <c r="G264" s="66" t="s">
        <v>1856</v>
      </c>
      <c r="H264" s="66" t="s">
        <v>9</v>
      </c>
      <c r="I264" s="122"/>
      <c r="J264" s="68"/>
      <c r="K264" s="66"/>
      <c r="L264" s="66"/>
      <c r="M264" s="143" t="s">
        <v>6</v>
      </c>
      <c r="N264" s="144" t="s">
        <v>6</v>
      </c>
      <c r="O264" s="6"/>
      <c r="P264" s="5"/>
      <c r="Q264" s="5"/>
      <c r="R264" s="7"/>
    </row>
    <row r="265" spans="1:18" ht="44.4" hidden="1" customHeight="1">
      <c r="A265" s="198"/>
      <c r="B265" s="156" t="s">
        <v>674</v>
      </c>
      <c r="C265" s="159" t="s">
        <v>13</v>
      </c>
      <c r="D265" s="160" t="s">
        <v>17</v>
      </c>
      <c r="E265" s="219" t="s">
        <v>267</v>
      </c>
      <c r="F265" s="161" t="s">
        <v>1722</v>
      </c>
      <c r="G265" s="66" t="s">
        <v>1848</v>
      </c>
      <c r="H265" s="66" t="s">
        <v>9</v>
      </c>
      <c r="I265" s="130"/>
      <c r="J265" s="68"/>
      <c r="M265" s="143" t="s">
        <v>1848</v>
      </c>
      <c r="N265" s="144" t="s">
        <v>1856</v>
      </c>
      <c r="O265" s="6" t="s">
        <v>9</v>
      </c>
      <c r="P265" s="5" t="s">
        <v>675</v>
      </c>
      <c r="Q265" s="5" t="s">
        <v>0</v>
      </c>
      <c r="R265" s="7" t="s">
        <v>676</v>
      </c>
    </row>
    <row r="266" spans="1:18" ht="34.799999999999997" hidden="1" customHeight="1">
      <c r="A266" s="197" t="str">
        <f>HYPERLINK("http://sipi.sic.gov.co/sipi/View.ashx?4189837","SD2022/0052644")</f>
        <v>SD2022/0052644</v>
      </c>
      <c r="B266" s="156" t="s">
        <v>677</v>
      </c>
      <c r="C266" s="159" t="s">
        <v>13</v>
      </c>
      <c r="D266" s="160" t="s">
        <v>17</v>
      </c>
      <c r="E266" s="220" t="s">
        <v>1846</v>
      </c>
      <c r="F266" s="161" t="s">
        <v>1746</v>
      </c>
      <c r="G266" s="66" t="s">
        <v>1848</v>
      </c>
      <c r="H266" s="66" t="s">
        <v>9</v>
      </c>
      <c r="I266" s="130"/>
      <c r="J266" s="68"/>
      <c r="M266" s="143" t="s">
        <v>6</v>
      </c>
      <c r="N266" s="144" t="s">
        <v>6</v>
      </c>
      <c r="O266" s="6"/>
      <c r="P266" s="5"/>
      <c r="Q266" s="5"/>
      <c r="R266" s="7"/>
    </row>
    <row r="267" spans="1:18" ht="36" hidden="1" customHeight="1">
      <c r="A267" s="198"/>
      <c r="B267" s="156" t="s">
        <v>677</v>
      </c>
      <c r="C267" s="159" t="s">
        <v>13</v>
      </c>
      <c r="D267" s="160" t="s">
        <v>17</v>
      </c>
      <c r="E267" s="220" t="s">
        <v>1846</v>
      </c>
      <c r="F267" s="161" t="s">
        <v>1746</v>
      </c>
      <c r="G267" s="66" t="s">
        <v>1848</v>
      </c>
      <c r="H267" s="66" t="s">
        <v>9</v>
      </c>
      <c r="I267" s="130"/>
      <c r="J267" s="68"/>
      <c r="M267" s="143" t="s">
        <v>1848</v>
      </c>
      <c r="N267" s="144" t="s">
        <v>6</v>
      </c>
      <c r="O267" s="6" t="s">
        <v>9</v>
      </c>
      <c r="P267" s="5" t="s">
        <v>678</v>
      </c>
      <c r="Q267" s="5" t="s">
        <v>63</v>
      </c>
      <c r="R267" s="7" t="s">
        <v>679</v>
      </c>
    </row>
    <row r="268" spans="1:18" ht="15.75" hidden="1" customHeight="1">
      <c r="A268" s="205" t="str">
        <f>HYPERLINK("http://sipi.sic.gov.co/sipi/View.ashx?4192932","SD2022/0053404")</f>
        <v>SD2022/0053404</v>
      </c>
      <c r="B268" s="18" t="s">
        <v>680</v>
      </c>
      <c r="C268" s="61" t="s">
        <v>7</v>
      </c>
      <c r="D268" s="108" t="s">
        <v>8</v>
      </c>
      <c r="E268" s="83"/>
      <c r="F268" s="84"/>
      <c r="G268" s="66" t="s">
        <v>6</v>
      </c>
      <c r="H268" s="82"/>
      <c r="I268" s="129"/>
      <c r="J268" s="84"/>
      <c r="K268" s="66" t="s">
        <v>6</v>
      </c>
      <c r="L268" s="82"/>
      <c r="M268" s="148" t="s">
        <v>1848</v>
      </c>
      <c r="N268" s="144" t="s">
        <v>6</v>
      </c>
      <c r="O268" s="20" t="s">
        <v>19</v>
      </c>
      <c r="P268" s="19" t="s">
        <v>648</v>
      </c>
      <c r="Q268" s="19" t="s">
        <v>0</v>
      </c>
      <c r="R268" s="21" t="s">
        <v>649</v>
      </c>
    </row>
    <row r="269" spans="1:18" ht="15.75" hidden="1" customHeight="1">
      <c r="A269" s="196" t="str">
        <f>HYPERLINK("http://sipi.sic.gov.co/sipi/View.ashx?4193724","SD2022/0086501")</f>
        <v>SD2022/0086501</v>
      </c>
      <c r="B269" s="8" t="s">
        <v>681</v>
      </c>
      <c r="C269" s="57" t="s">
        <v>13</v>
      </c>
      <c r="D269" s="104" t="s">
        <v>8</v>
      </c>
      <c r="E269" s="67"/>
      <c r="F269" s="68"/>
      <c r="G269" s="66" t="s">
        <v>6</v>
      </c>
      <c r="H269" s="66"/>
      <c r="I269" s="122"/>
      <c r="J269" s="68"/>
      <c r="K269" s="66" t="s">
        <v>6</v>
      </c>
      <c r="L269" s="66"/>
      <c r="M269" s="143" t="s">
        <v>1849</v>
      </c>
      <c r="N269" s="144" t="s">
        <v>6</v>
      </c>
      <c r="O269" s="6" t="s">
        <v>19</v>
      </c>
      <c r="P269" s="5" t="s">
        <v>682</v>
      </c>
      <c r="Q269" s="5" t="s">
        <v>0</v>
      </c>
      <c r="R269" s="7" t="s">
        <v>683</v>
      </c>
    </row>
    <row r="270" spans="1:18" ht="15.75" hidden="1" customHeight="1">
      <c r="A270" s="196" t="str">
        <f>HYPERLINK("http://sipi.sic.gov.co/sipi/View.ashx?4194240","SD2022/0053562")</f>
        <v>SD2022/0053562</v>
      </c>
      <c r="B270" s="8" t="s">
        <v>684</v>
      </c>
      <c r="C270" s="57" t="s">
        <v>7</v>
      </c>
      <c r="D270" s="104" t="s">
        <v>8</v>
      </c>
      <c r="E270" s="67"/>
      <c r="F270" s="68"/>
      <c r="G270" s="66" t="s">
        <v>6</v>
      </c>
      <c r="H270" s="66"/>
      <c r="I270" s="122"/>
      <c r="J270" s="68"/>
      <c r="K270" s="66" t="s">
        <v>6</v>
      </c>
      <c r="L270" s="66"/>
      <c r="M270" s="143" t="s">
        <v>1848</v>
      </c>
      <c r="N270" s="144" t="s">
        <v>6</v>
      </c>
      <c r="O270" s="6" t="s">
        <v>9</v>
      </c>
      <c r="P270" s="5" t="s">
        <v>685</v>
      </c>
      <c r="Q270" s="5" t="s">
        <v>0</v>
      </c>
      <c r="R270" s="7" t="s">
        <v>686</v>
      </c>
    </row>
    <row r="271" spans="1:18" ht="15.75" hidden="1" customHeight="1">
      <c r="A271" s="197" t="str">
        <f>HYPERLINK("http://sipi.sic.gov.co/sipi/View.ashx?4195495","SD2022/0054710")</f>
        <v>SD2022/0054710</v>
      </c>
      <c r="B271" s="156" t="s">
        <v>687</v>
      </c>
      <c r="C271" s="159" t="s">
        <v>7</v>
      </c>
      <c r="D271" s="160" t="s">
        <v>17</v>
      </c>
      <c r="E271" s="158" t="s">
        <v>688</v>
      </c>
      <c r="F271" s="161" t="s">
        <v>1747</v>
      </c>
      <c r="G271" s="66" t="s">
        <v>1848</v>
      </c>
      <c r="H271" s="68" t="s">
        <v>9</v>
      </c>
      <c r="I271" s="122"/>
      <c r="J271" s="68"/>
      <c r="K271" s="66"/>
      <c r="L271" s="66"/>
      <c r="M271" s="143" t="s">
        <v>6</v>
      </c>
      <c r="N271" s="144" t="s">
        <v>6</v>
      </c>
      <c r="O271" s="6"/>
      <c r="P271" s="5"/>
      <c r="Q271" s="5"/>
      <c r="R271" s="7"/>
    </row>
    <row r="272" spans="1:18" ht="31.5" hidden="1" customHeight="1">
      <c r="A272" s="198"/>
      <c r="B272" s="156" t="s">
        <v>687</v>
      </c>
      <c r="C272" s="159" t="s">
        <v>7</v>
      </c>
      <c r="D272" s="160" t="s">
        <v>17</v>
      </c>
      <c r="E272" s="158" t="s">
        <v>688</v>
      </c>
      <c r="F272" s="161" t="s">
        <v>1747</v>
      </c>
      <c r="G272" s="66" t="s">
        <v>1849</v>
      </c>
      <c r="H272" s="66" t="s">
        <v>19</v>
      </c>
      <c r="I272" s="130"/>
      <c r="J272" s="120"/>
      <c r="M272" s="143" t="s">
        <v>1848</v>
      </c>
      <c r="N272" s="144" t="s">
        <v>6</v>
      </c>
      <c r="O272" s="6" t="s">
        <v>9</v>
      </c>
      <c r="P272" s="5" t="s">
        <v>689</v>
      </c>
      <c r="Q272" s="5" t="s">
        <v>690</v>
      </c>
      <c r="R272" s="7" t="s">
        <v>691</v>
      </c>
    </row>
    <row r="273" spans="1:18" ht="31.5" hidden="1" customHeight="1">
      <c r="A273" s="197" t="str">
        <f>HYPERLINK("http://sipi.sic.gov.co/sipi/View.ashx?4197025","SD2022/0054153")</f>
        <v>SD2022/0054153</v>
      </c>
      <c r="B273" s="156" t="s">
        <v>692</v>
      </c>
      <c r="C273" s="159" t="s">
        <v>13</v>
      </c>
      <c r="D273" s="160" t="s">
        <v>17</v>
      </c>
      <c r="E273" s="219" t="s">
        <v>1445</v>
      </c>
      <c r="F273" s="161" t="s">
        <v>1748</v>
      </c>
      <c r="G273" s="66" t="s">
        <v>1848</v>
      </c>
      <c r="H273" s="66" t="s">
        <v>9</v>
      </c>
      <c r="I273" s="130"/>
      <c r="J273" s="120"/>
      <c r="M273" s="143" t="s">
        <v>6</v>
      </c>
      <c r="N273" s="144" t="s">
        <v>6</v>
      </c>
      <c r="O273" s="6"/>
      <c r="P273" s="5"/>
      <c r="Q273" s="5"/>
      <c r="R273" s="7"/>
    </row>
    <row r="274" spans="1:18" ht="30" hidden="1" customHeight="1">
      <c r="A274" s="198"/>
      <c r="B274" s="156" t="s">
        <v>692</v>
      </c>
      <c r="C274" s="159" t="s">
        <v>13</v>
      </c>
      <c r="D274" s="160" t="s">
        <v>17</v>
      </c>
      <c r="E274" s="219" t="s">
        <v>1445</v>
      </c>
      <c r="F274" s="161" t="s">
        <v>1748</v>
      </c>
      <c r="G274" s="66" t="s">
        <v>1849</v>
      </c>
      <c r="H274" s="66" t="s">
        <v>19</v>
      </c>
      <c r="I274" s="130"/>
      <c r="J274" s="68"/>
      <c r="M274" s="143" t="s">
        <v>1848</v>
      </c>
      <c r="N274" s="144" t="s">
        <v>6</v>
      </c>
      <c r="O274" s="6" t="s">
        <v>19</v>
      </c>
      <c r="P274" s="5" t="s">
        <v>693</v>
      </c>
      <c r="Q274" s="5" t="s">
        <v>694</v>
      </c>
      <c r="R274" s="7" t="s">
        <v>695</v>
      </c>
    </row>
    <row r="275" spans="1:18" ht="39.75" hidden="1" customHeight="1">
      <c r="A275" s="196" t="str">
        <f>HYPERLINK("http://sipi.sic.gov.co/sipi/View.ashx?4197069","SD2022/0054172")</f>
        <v>SD2022/0054172</v>
      </c>
      <c r="B275" s="8" t="s">
        <v>696</v>
      </c>
      <c r="C275" s="57" t="s">
        <v>13</v>
      </c>
      <c r="D275" s="104" t="s">
        <v>17</v>
      </c>
      <c r="E275" s="71" t="s">
        <v>697</v>
      </c>
      <c r="F275" s="68" t="s">
        <v>1749</v>
      </c>
      <c r="G275" s="66" t="s">
        <v>1848</v>
      </c>
      <c r="H275" s="66" t="s">
        <v>9</v>
      </c>
      <c r="I275" s="130"/>
      <c r="J275" s="68"/>
      <c r="K275" s="66" t="s">
        <v>6</v>
      </c>
      <c r="L275" s="66"/>
      <c r="M275" s="143" t="s">
        <v>1848</v>
      </c>
      <c r="N275" s="144" t="s">
        <v>6</v>
      </c>
      <c r="O275" s="6" t="s">
        <v>19</v>
      </c>
      <c r="P275" s="5" t="s">
        <v>698</v>
      </c>
      <c r="Q275" s="5" t="s">
        <v>23</v>
      </c>
      <c r="R275" s="7" t="s">
        <v>699</v>
      </c>
    </row>
    <row r="276" spans="1:18" ht="15.75" hidden="1" customHeight="1">
      <c r="A276" s="196" t="str">
        <f>HYPERLINK("http://sipi.sic.gov.co/sipi/View.ashx?4197189","SD2022/0054279")</f>
        <v>SD2022/0054279</v>
      </c>
      <c r="B276" s="8" t="s">
        <v>700</v>
      </c>
      <c r="C276" s="57" t="s">
        <v>7</v>
      </c>
      <c r="D276" s="104" t="s">
        <v>8</v>
      </c>
      <c r="E276" s="67"/>
      <c r="F276" s="68"/>
      <c r="G276" s="66" t="s">
        <v>6</v>
      </c>
      <c r="H276" s="66"/>
      <c r="I276" s="122"/>
      <c r="J276" s="68"/>
      <c r="K276" s="66" t="s">
        <v>6</v>
      </c>
      <c r="L276" s="66"/>
      <c r="M276" s="143" t="s">
        <v>1848</v>
      </c>
      <c r="N276" s="144" t="s">
        <v>6</v>
      </c>
      <c r="O276" s="6" t="s">
        <v>9</v>
      </c>
      <c r="P276" s="5" t="s">
        <v>701</v>
      </c>
      <c r="Q276" s="5" t="s">
        <v>0</v>
      </c>
      <c r="R276" s="7" t="s">
        <v>702</v>
      </c>
    </row>
    <row r="277" spans="1:18" ht="15.75" hidden="1" customHeight="1">
      <c r="A277" s="196" t="str">
        <f>HYPERLINK("http://sipi.sic.gov.co/sipi/View.ashx?4197591","SD2022/0062560")</f>
        <v>SD2022/0062560</v>
      </c>
      <c r="B277" s="8" t="s">
        <v>703</v>
      </c>
      <c r="C277" s="57" t="s">
        <v>13</v>
      </c>
      <c r="D277" s="104" t="s">
        <v>8</v>
      </c>
      <c r="E277" s="67"/>
      <c r="F277" s="68"/>
      <c r="G277" s="66" t="s">
        <v>6</v>
      </c>
      <c r="H277" s="66"/>
      <c r="I277" s="122"/>
      <c r="J277" s="68"/>
      <c r="K277" s="66" t="s">
        <v>6</v>
      </c>
      <c r="L277" s="66"/>
      <c r="M277" s="143" t="s">
        <v>1849</v>
      </c>
      <c r="N277" s="144" t="s">
        <v>6</v>
      </c>
      <c r="O277" s="6" t="s">
        <v>19</v>
      </c>
      <c r="P277" s="5" t="s">
        <v>704</v>
      </c>
      <c r="Q277" s="5" t="s">
        <v>0</v>
      </c>
      <c r="R277" s="7" t="s">
        <v>705</v>
      </c>
    </row>
    <row r="278" spans="1:18" ht="163.5" hidden="1" customHeight="1">
      <c r="A278" s="196" t="str">
        <f>HYPERLINK("http://sipi.sic.gov.co/sipi/View.ashx?4198463","SD2022/0054590")</f>
        <v>SD2022/0054590</v>
      </c>
      <c r="B278" s="8" t="s">
        <v>706</v>
      </c>
      <c r="C278" s="57" t="s">
        <v>13</v>
      </c>
      <c r="D278" s="104" t="s">
        <v>8</v>
      </c>
      <c r="E278" s="67"/>
      <c r="F278" s="68"/>
      <c r="G278" s="66" t="s">
        <v>6</v>
      </c>
      <c r="H278" s="66"/>
      <c r="I278" s="122"/>
      <c r="J278" s="68"/>
      <c r="K278" s="66" t="s">
        <v>6</v>
      </c>
      <c r="L278" s="66"/>
      <c r="M278" s="143" t="s">
        <v>1848</v>
      </c>
      <c r="N278" s="144" t="s">
        <v>6</v>
      </c>
      <c r="O278" s="6" t="s">
        <v>19</v>
      </c>
      <c r="P278" s="5" t="s">
        <v>707</v>
      </c>
      <c r="Q278" s="5" t="s">
        <v>0</v>
      </c>
      <c r="R278" s="7" t="s">
        <v>11</v>
      </c>
    </row>
    <row r="279" spans="1:18" ht="15.75" hidden="1" customHeight="1">
      <c r="A279" s="196" t="str">
        <f>HYPERLINK("http://sipi.sic.gov.co/sipi/View.ashx?4198492","SD2022/0054602")</f>
        <v>SD2022/0054602</v>
      </c>
      <c r="B279" s="8" t="s">
        <v>708</v>
      </c>
      <c r="C279" s="57" t="s">
        <v>7</v>
      </c>
      <c r="D279" s="104" t="s">
        <v>8</v>
      </c>
      <c r="E279" s="67"/>
      <c r="F279" s="68"/>
      <c r="G279" s="66" t="s">
        <v>6</v>
      </c>
      <c r="H279" s="66"/>
      <c r="I279" s="122"/>
      <c r="J279" s="68"/>
      <c r="K279" s="66" t="s">
        <v>6</v>
      </c>
      <c r="L279" s="66"/>
      <c r="M279" s="143" t="s">
        <v>1848</v>
      </c>
      <c r="N279" s="144" t="s">
        <v>6</v>
      </c>
      <c r="O279" s="6" t="s">
        <v>19</v>
      </c>
      <c r="P279" s="5" t="s">
        <v>709</v>
      </c>
      <c r="Q279" s="5" t="s">
        <v>0</v>
      </c>
      <c r="R279" s="7" t="s">
        <v>710</v>
      </c>
    </row>
    <row r="280" spans="1:18" ht="15.75" hidden="1" customHeight="1">
      <c r="A280" s="196" t="str">
        <f>HYPERLINK("http://sipi.sic.gov.co/sipi/View.ashx?4198556","SD2022/0054636")</f>
        <v>SD2022/0054636</v>
      </c>
      <c r="B280" s="8" t="s">
        <v>711</v>
      </c>
      <c r="C280" s="57" t="s">
        <v>13</v>
      </c>
      <c r="D280" s="104" t="s">
        <v>8</v>
      </c>
      <c r="E280" s="67"/>
      <c r="F280" s="68"/>
      <c r="G280" s="66" t="s">
        <v>6</v>
      </c>
      <c r="H280" s="66"/>
      <c r="I280" s="122"/>
      <c r="J280" s="68"/>
      <c r="K280" s="66" t="s">
        <v>6</v>
      </c>
      <c r="L280" s="66"/>
      <c r="M280" s="143" t="s">
        <v>1848</v>
      </c>
      <c r="N280" s="144" t="s">
        <v>6</v>
      </c>
      <c r="O280" s="6" t="s">
        <v>9</v>
      </c>
      <c r="P280" s="5" t="s">
        <v>281</v>
      </c>
      <c r="Q280" s="5" t="s">
        <v>0</v>
      </c>
      <c r="R280" s="7" t="s">
        <v>282</v>
      </c>
    </row>
    <row r="281" spans="1:18" ht="15.75" hidden="1" customHeight="1">
      <c r="A281" s="196" t="str">
        <f>HYPERLINK("http://sipi.sic.gov.co/sipi/View.ashx?4198611","SD2022/0054653")</f>
        <v>SD2022/0054653</v>
      </c>
      <c r="B281" s="8" t="s">
        <v>712</v>
      </c>
      <c r="C281" s="57" t="s">
        <v>7</v>
      </c>
      <c r="D281" s="104" t="s">
        <v>8</v>
      </c>
      <c r="E281" s="67"/>
      <c r="F281" s="68"/>
      <c r="G281" s="66" t="s">
        <v>6</v>
      </c>
      <c r="H281" s="66"/>
      <c r="I281" s="122"/>
      <c r="J281" s="68"/>
      <c r="K281" s="66" t="s">
        <v>6</v>
      </c>
      <c r="L281" s="66"/>
      <c r="M281" s="143" t="s">
        <v>1848</v>
      </c>
      <c r="N281" s="144" t="s">
        <v>6</v>
      </c>
      <c r="O281" s="6" t="s">
        <v>9</v>
      </c>
      <c r="P281" s="5" t="s">
        <v>713</v>
      </c>
      <c r="Q281" s="5" t="s">
        <v>0</v>
      </c>
      <c r="R281" s="7" t="s">
        <v>714</v>
      </c>
    </row>
    <row r="282" spans="1:18" ht="15.75" hidden="1" customHeight="1">
      <c r="A282" s="196" t="str">
        <f>HYPERLINK("http://sipi.sic.gov.co/sipi/View.ashx?4198650","SD2022/0054686")</f>
        <v>SD2022/0054686</v>
      </c>
      <c r="B282" s="8" t="s">
        <v>715</v>
      </c>
      <c r="C282" s="57" t="s">
        <v>7</v>
      </c>
      <c r="D282" s="104" t="s">
        <v>8</v>
      </c>
      <c r="E282" s="67"/>
      <c r="F282" s="68"/>
      <c r="G282" s="66" t="s">
        <v>6</v>
      </c>
      <c r="H282" s="66"/>
      <c r="I282" s="122"/>
      <c r="J282" s="68"/>
      <c r="K282" s="66" t="s">
        <v>6</v>
      </c>
      <c r="L282" s="66"/>
      <c r="M282" s="143" t="s">
        <v>1848</v>
      </c>
      <c r="N282" s="144" t="s">
        <v>6</v>
      </c>
      <c r="O282" s="6" t="s">
        <v>9</v>
      </c>
      <c r="P282" s="5" t="s">
        <v>716</v>
      </c>
      <c r="Q282" s="5" t="s">
        <v>0</v>
      </c>
      <c r="R282" s="7" t="s">
        <v>717</v>
      </c>
    </row>
    <row r="283" spans="1:18" ht="15.75" hidden="1" customHeight="1">
      <c r="A283" s="196" t="str">
        <f>HYPERLINK("http://sipi.sic.gov.co/sipi/View.ashx?4200114","SD2022/0055183")</f>
        <v>SD2022/0055183</v>
      </c>
      <c r="B283" s="8" t="s">
        <v>718</v>
      </c>
      <c r="C283" s="57" t="s">
        <v>13</v>
      </c>
      <c r="D283" s="104" t="s">
        <v>8</v>
      </c>
      <c r="E283" s="67"/>
      <c r="F283" s="68"/>
      <c r="G283" s="66" t="s">
        <v>6</v>
      </c>
      <c r="H283" s="66"/>
      <c r="I283" s="122"/>
      <c r="J283" s="68"/>
      <c r="K283" s="66" t="s">
        <v>6</v>
      </c>
      <c r="L283" s="66"/>
      <c r="M283" s="143" t="s">
        <v>1848</v>
      </c>
      <c r="N283" s="144" t="s">
        <v>6</v>
      </c>
      <c r="O283" s="6" t="s">
        <v>9</v>
      </c>
      <c r="P283" s="5" t="s">
        <v>719</v>
      </c>
      <c r="Q283" s="5" t="s">
        <v>0</v>
      </c>
      <c r="R283" s="7" t="s">
        <v>11</v>
      </c>
    </row>
    <row r="284" spans="1:18" ht="15.75" hidden="1" customHeight="1">
      <c r="A284" s="196" t="str">
        <f>HYPERLINK("http://sipi.sic.gov.co/sipi/View.ashx?4200888","SD2022/0055381")</f>
        <v>SD2022/0055381</v>
      </c>
      <c r="B284" s="8" t="s">
        <v>720</v>
      </c>
      <c r="C284" s="57" t="s">
        <v>7</v>
      </c>
      <c r="D284" s="104" t="s">
        <v>8</v>
      </c>
      <c r="E284" s="67"/>
      <c r="F284" s="68"/>
      <c r="G284" s="66" t="s">
        <v>6</v>
      </c>
      <c r="H284" s="66"/>
      <c r="I284" s="122"/>
      <c r="J284" s="68"/>
      <c r="K284" s="66" t="s">
        <v>6</v>
      </c>
      <c r="L284" s="66"/>
      <c r="M284" s="143" t="s">
        <v>1849</v>
      </c>
      <c r="N284" s="144" t="s">
        <v>6</v>
      </c>
      <c r="O284" s="6" t="s">
        <v>19</v>
      </c>
      <c r="P284" s="5" t="s">
        <v>721</v>
      </c>
      <c r="Q284" s="5" t="s">
        <v>0</v>
      </c>
      <c r="R284" s="7" t="s">
        <v>722</v>
      </c>
    </row>
    <row r="285" spans="1:18" ht="39" hidden="1" customHeight="1">
      <c r="A285" s="196" t="str">
        <f>HYPERLINK("http://sipi.sic.gov.co/sipi/View.ashx?4203825","SD2022/0056071")</f>
        <v>SD2022/0056071</v>
      </c>
      <c r="B285" s="8" t="s">
        <v>723</v>
      </c>
      <c r="C285" s="57" t="s">
        <v>7</v>
      </c>
      <c r="D285" s="104" t="s">
        <v>17</v>
      </c>
      <c r="E285" s="71" t="s">
        <v>724</v>
      </c>
      <c r="F285" s="68" t="s">
        <v>1826</v>
      </c>
      <c r="G285" s="66" t="s">
        <v>1849</v>
      </c>
      <c r="H285" s="66" t="s">
        <v>9</v>
      </c>
      <c r="I285" s="122"/>
      <c r="J285" s="68"/>
      <c r="K285" s="66" t="s">
        <v>6</v>
      </c>
      <c r="L285" s="66"/>
      <c r="M285" s="143" t="s">
        <v>1848</v>
      </c>
      <c r="N285" s="144" t="s">
        <v>1851</v>
      </c>
      <c r="O285" s="6" t="s">
        <v>19</v>
      </c>
      <c r="P285" s="5" t="s">
        <v>725</v>
      </c>
      <c r="Q285" s="5" t="s">
        <v>0</v>
      </c>
      <c r="R285" s="7" t="s">
        <v>726</v>
      </c>
    </row>
    <row r="286" spans="1:18" ht="39" hidden="1" customHeight="1">
      <c r="A286" s="197" t="str">
        <f>HYPERLINK("http://sipi.sic.gov.co/sipi/View.ashx?4204353","SD2022/0056383")</f>
        <v>SD2022/0056383</v>
      </c>
      <c r="B286" s="156" t="s">
        <v>727</v>
      </c>
      <c r="C286" s="159" t="s">
        <v>7</v>
      </c>
      <c r="D286" s="160" t="s">
        <v>17</v>
      </c>
      <c r="E286" s="158" t="s">
        <v>728</v>
      </c>
      <c r="F286" s="161" t="s">
        <v>1750</v>
      </c>
      <c r="G286" s="66" t="s">
        <v>1848</v>
      </c>
      <c r="H286" s="66" t="s">
        <v>9</v>
      </c>
      <c r="I286" s="122"/>
      <c r="J286" s="68"/>
      <c r="K286" s="66"/>
      <c r="L286" s="66"/>
      <c r="M286" s="143" t="s">
        <v>6</v>
      </c>
      <c r="N286" s="144" t="s">
        <v>6</v>
      </c>
      <c r="O286" s="6"/>
      <c r="P286" s="5"/>
      <c r="Q286" s="5"/>
      <c r="R286" s="7"/>
    </row>
    <row r="287" spans="1:18" ht="42.6" hidden="1" customHeight="1">
      <c r="A287" s="198"/>
      <c r="B287" s="156" t="s">
        <v>727</v>
      </c>
      <c r="C287" s="159" t="s">
        <v>7</v>
      </c>
      <c r="D287" s="160" t="s">
        <v>17</v>
      </c>
      <c r="E287" s="158" t="s">
        <v>728</v>
      </c>
      <c r="F287" s="161" t="s">
        <v>1750</v>
      </c>
      <c r="G287" s="66" t="s">
        <v>1849</v>
      </c>
      <c r="H287" s="66" t="s">
        <v>19</v>
      </c>
      <c r="I287" s="130"/>
      <c r="J287" s="68"/>
      <c r="M287" s="143" t="s">
        <v>1848</v>
      </c>
      <c r="N287" s="144" t="s">
        <v>6</v>
      </c>
      <c r="O287" s="6" t="s">
        <v>19</v>
      </c>
      <c r="P287" s="5" t="s">
        <v>729</v>
      </c>
      <c r="Q287" s="5" t="s">
        <v>0</v>
      </c>
      <c r="R287" s="7" t="s">
        <v>730</v>
      </c>
    </row>
    <row r="288" spans="1:18" ht="120" hidden="1" customHeight="1">
      <c r="A288" s="196" t="str">
        <f>HYPERLINK("http://sipi.sic.gov.co/sipi/View.ashx?4206745","SD2022/0056830")</f>
        <v>SD2022/0056830</v>
      </c>
      <c r="B288" s="8" t="s">
        <v>731</v>
      </c>
      <c r="C288" s="57" t="s">
        <v>13</v>
      </c>
      <c r="D288" s="105" t="s">
        <v>8</v>
      </c>
      <c r="E288" s="71"/>
      <c r="F288" s="68"/>
      <c r="G288" s="66"/>
      <c r="H288" s="66"/>
      <c r="I288" s="122"/>
      <c r="J288" s="68"/>
      <c r="K288" s="66" t="s">
        <v>6</v>
      </c>
      <c r="L288" s="66"/>
      <c r="M288" s="143" t="s">
        <v>1848</v>
      </c>
      <c r="N288" s="144" t="s">
        <v>6</v>
      </c>
      <c r="O288" s="6" t="s">
        <v>9</v>
      </c>
      <c r="P288" s="5" t="s">
        <v>732</v>
      </c>
      <c r="Q288" s="5" t="s">
        <v>23</v>
      </c>
      <c r="R288" s="7" t="s">
        <v>292</v>
      </c>
    </row>
    <row r="289" spans="1:18" ht="45" hidden="1" customHeight="1">
      <c r="A289" s="197" t="str">
        <f>HYPERLINK("http://sipi.sic.gov.co/sipi/View.ashx?4207983","SD2022/0057103")</f>
        <v>SD2022/0057103</v>
      </c>
      <c r="B289" s="156" t="s">
        <v>733</v>
      </c>
      <c r="C289" s="159" t="s">
        <v>7</v>
      </c>
      <c r="D289" s="160" t="s">
        <v>17</v>
      </c>
      <c r="E289" s="158" t="s">
        <v>734</v>
      </c>
      <c r="F289" s="161" t="s">
        <v>1751</v>
      </c>
      <c r="G289" s="66" t="s">
        <v>1848</v>
      </c>
      <c r="H289" s="66" t="s">
        <v>9</v>
      </c>
      <c r="I289" s="122"/>
      <c r="J289" s="68"/>
      <c r="K289" s="66"/>
      <c r="L289" s="66"/>
      <c r="M289" s="143" t="s">
        <v>6</v>
      </c>
      <c r="N289" s="144" t="s">
        <v>6</v>
      </c>
      <c r="O289" s="6"/>
      <c r="P289" s="5"/>
      <c r="Q289" s="5"/>
      <c r="R289" s="7"/>
    </row>
    <row r="290" spans="1:18" ht="77.400000000000006" hidden="1" customHeight="1">
      <c r="A290" s="198"/>
      <c r="B290" s="156" t="s">
        <v>733</v>
      </c>
      <c r="C290" s="159" t="s">
        <v>7</v>
      </c>
      <c r="D290" s="160" t="s">
        <v>17</v>
      </c>
      <c r="E290" s="158" t="s">
        <v>734</v>
      </c>
      <c r="F290" s="161" t="s">
        <v>1751</v>
      </c>
      <c r="G290" s="66" t="s">
        <v>1849</v>
      </c>
      <c r="H290" s="66" t="s">
        <v>19</v>
      </c>
      <c r="I290" s="130"/>
      <c r="J290" s="68"/>
      <c r="M290" s="143" t="s">
        <v>1848</v>
      </c>
      <c r="N290" s="144" t="s">
        <v>6</v>
      </c>
      <c r="O290" s="6" t="s">
        <v>19</v>
      </c>
      <c r="P290" s="5" t="s">
        <v>735</v>
      </c>
      <c r="Q290" s="5" t="s">
        <v>0</v>
      </c>
      <c r="R290" s="7" t="s">
        <v>736</v>
      </c>
    </row>
    <row r="291" spans="1:18" ht="85.2" hidden="1" customHeight="1">
      <c r="A291" s="202" t="str">
        <f>HYPERLINK("http://sipi.sic.gov.co/sipi/View.ashx?4209231","SD2022/0057397")</f>
        <v>SD2022/0057397</v>
      </c>
      <c r="B291" s="14" t="s">
        <v>737</v>
      </c>
      <c r="C291" s="60" t="s">
        <v>13</v>
      </c>
      <c r="D291" s="107" t="s">
        <v>17</v>
      </c>
      <c r="E291" s="79" t="s">
        <v>738</v>
      </c>
      <c r="F291" s="80" t="s">
        <v>1752</v>
      </c>
      <c r="G291" s="66" t="s">
        <v>1848</v>
      </c>
      <c r="H291" s="78" t="s">
        <v>9</v>
      </c>
      <c r="I291" s="128"/>
      <c r="J291" s="80"/>
      <c r="K291" s="66" t="s">
        <v>6</v>
      </c>
      <c r="L291" s="78"/>
      <c r="M291" s="146" t="s">
        <v>1848</v>
      </c>
      <c r="N291" s="144" t="s">
        <v>6</v>
      </c>
      <c r="O291" s="16" t="s">
        <v>19</v>
      </c>
      <c r="P291" s="15" t="s">
        <v>739</v>
      </c>
      <c r="Q291" s="15" t="s">
        <v>63</v>
      </c>
      <c r="R291" s="17" t="s">
        <v>740</v>
      </c>
    </row>
    <row r="292" spans="1:18" ht="15.75" hidden="1" customHeight="1">
      <c r="A292" s="196" t="str">
        <f>HYPERLINK("http://sipi.sic.gov.co/sipi/View.ashx?4209514","SD2022/0057482")</f>
        <v>SD2022/0057482</v>
      </c>
      <c r="B292" s="8" t="s">
        <v>741</v>
      </c>
      <c r="C292" s="57" t="s">
        <v>7</v>
      </c>
      <c r="D292" s="104" t="s">
        <v>8</v>
      </c>
      <c r="E292" s="67"/>
      <c r="F292" s="68"/>
      <c r="G292" s="66" t="s">
        <v>6</v>
      </c>
      <c r="H292" s="66"/>
      <c r="I292" s="122"/>
      <c r="J292" s="68"/>
      <c r="K292" s="66" t="s">
        <v>6</v>
      </c>
      <c r="L292" s="66"/>
      <c r="M292" s="143" t="s">
        <v>1848</v>
      </c>
      <c r="N292" s="144" t="s">
        <v>6</v>
      </c>
      <c r="O292" s="6" t="s">
        <v>19</v>
      </c>
      <c r="P292" s="5" t="s">
        <v>742</v>
      </c>
      <c r="Q292" s="5" t="s">
        <v>743</v>
      </c>
      <c r="R292" s="7" t="s">
        <v>744</v>
      </c>
    </row>
    <row r="293" spans="1:18" ht="94.5" hidden="1" customHeight="1">
      <c r="A293" s="196" t="str">
        <f>HYPERLINK("http://sipi.sic.gov.co/sipi/View.ashx?4210532","SD2022/0057793")</f>
        <v>SD2022/0057793</v>
      </c>
      <c r="B293" s="8" t="s">
        <v>745</v>
      </c>
      <c r="C293" s="57" t="s">
        <v>13</v>
      </c>
      <c r="D293" s="104" t="s">
        <v>8</v>
      </c>
      <c r="E293" s="67"/>
      <c r="F293" s="68"/>
      <c r="G293" s="66" t="s">
        <v>6</v>
      </c>
      <c r="H293" s="66"/>
      <c r="I293" s="122"/>
      <c r="J293" s="68"/>
      <c r="K293" s="66" t="s">
        <v>6</v>
      </c>
      <c r="L293" s="66"/>
      <c r="M293" s="143" t="s">
        <v>1848</v>
      </c>
      <c r="N293" s="144" t="s">
        <v>6</v>
      </c>
      <c r="O293" s="6" t="s">
        <v>19</v>
      </c>
      <c r="P293" s="5" t="s">
        <v>746</v>
      </c>
      <c r="Q293" s="5" t="s">
        <v>0</v>
      </c>
      <c r="R293" s="7" t="s">
        <v>747</v>
      </c>
    </row>
    <row r="294" spans="1:18" ht="93" hidden="1" customHeight="1">
      <c r="A294" s="196" t="str">
        <f>HYPERLINK("http://sipi.sic.gov.co/sipi/View.ashx?4210624","SD2022/0060529")</f>
        <v>SD2022/0060529</v>
      </c>
      <c r="B294" s="8" t="s">
        <v>748</v>
      </c>
      <c r="C294" s="57" t="s">
        <v>13</v>
      </c>
      <c r="D294" s="104" t="s">
        <v>17</v>
      </c>
      <c r="E294" s="71" t="s">
        <v>749</v>
      </c>
      <c r="F294" s="68" t="s">
        <v>1753</v>
      </c>
      <c r="G294" s="66" t="s">
        <v>1848</v>
      </c>
      <c r="H294" s="66" t="s">
        <v>19</v>
      </c>
      <c r="I294" s="122"/>
      <c r="J294" s="68"/>
      <c r="K294" s="66" t="s">
        <v>6</v>
      </c>
      <c r="L294" s="66"/>
      <c r="M294" s="143" t="s">
        <v>1848</v>
      </c>
      <c r="N294" s="144" t="s">
        <v>6</v>
      </c>
      <c r="O294" s="6" t="s">
        <v>19</v>
      </c>
      <c r="P294" s="5" t="s">
        <v>750</v>
      </c>
      <c r="Q294" s="5" t="s">
        <v>0</v>
      </c>
      <c r="R294" s="7" t="s">
        <v>11</v>
      </c>
    </row>
    <row r="295" spans="1:18" ht="115.5" hidden="1" customHeight="1">
      <c r="A295" s="196" t="str">
        <f>HYPERLINK("http://sipi.sic.gov.co/sipi/View.ashx?4210703","SD2022/0057887")</f>
        <v>SD2022/0057887</v>
      </c>
      <c r="B295" s="8" t="s">
        <v>751</v>
      </c>
      <c r="C295" s="57" t="s">
        <v>13</v>
      </c>
      <c r="D295" s="104" t="s">
        <v>8</v>
      </c>
      <c r="E295" s="67"/>
      <c r="F295" s="68"/>
      <c r="G295" s="66" t="s">
        <v>6</v>
      </c>
      <c r="H295" s="66"/>
      <c r="I295" s="122"/>
      <c r="J295" s="68"/>
      <c r="K295" s="66" t="s">
        <v>6</v>
      </c>
      <c r="L295" s="66"/>
      <c r="M295" s="143" t="s">
        <v>1848</v>
      </c>
      <c r="N295" s="144" t="s">
        <v>6</v>
      </c>
      <c r="O295" s="6" t="s">
        <v>19</v>
      </c>
      <c r="P295" s="5" t="s">
        <v>752</v>
      </c>
      <c r="Q295" s="5" t="s">
        <v>58</v>
      </c>
      <c r="R295" s="7" t="s">
        <v>753</v>
      </c>
    </row>
    <row r="296" spans="1:18" ht="15.75" hidden="1" customHeight="1">
      <c r="A296" s="196" t="str">
        <f>HYPERLINK("http://sipi.sic.gov.co/sipi/View.ashx?4211302","SD2022/0058043")</f>
        <v>SD2022/0058043</v>
      </c>
      <c r="B296" s="8" t="s">
        <v>754</v>
      </c>
      <c r="C296" s="57" t="s">
        <v>7</v>
      </c>
      <c r="D296" s="104" t="s">
        <v>8</v>
      </c>
      <c r="E296" s="67"/>
      <c r="F296" s="68"/>
      <c r="G296" s="66" t="s">
        <v>6</v>
      </c>
      <c r="H296" s="66"/>
      <c r="I296" s="122"/>
      <c r="J296" s="68"/>
      <c r="K296" s="66" t="s">
        <v>6</v>
      </c>
      <c r="L296" s="66"/>
      <c r="M296" s="143" t="s">
        <v>1848</v>
      </c>
      <c r="N296" s="144" t="s">
        <v>6</v>
      </c>
      <c r="O296" s="6" t="s">
        <v>19</v>
      </c>
      <c r="P296" s="5" t="s">
        <v>755</v>
      </c>
      <c r="Q296" s="5" t="s">
        <v>0</v>
      </c>
      <c r="R296" s="7" t="s">
        <v>756</v>
      </c>
    </row>
    <row r="297" spans="1:18" ht="15.75" hidden="1" customHeight="1">
      <c r="A297" s="196" t="str">
        <f>HYPERLINK("http://sipi.sic.gov.co/sipi/View.ashx?4211918","SD2022/0058161")</f>
        <v>SD2022/0058161</v>
      </c>
      <c r="B297" s="8" t="s">
        <v>757</v>
      </c>
      <c r="C297" s="57" t="s">
        <v>13</v>
      </c>
      <c r="D297" s="104" t="s">
        <v>8</v>
      </c>
      <c r="E297" s="67"/>
      <c r="F297" s="68"/>
      <c r="G297" s="66" t="s">
        <v>6</v>
      </c>
      <c r="H297" s="66"/>
      <c r="I297" s="122"/>
      <c r="J297" s="68"/>
      <c r="K297" s="66" t="s">
        <v>6</v>
      </c>
      <c r="L297" s="66"/>
      <c r="M297" s="143" t="s">
        <v>1848</v>
      </c>
      <c r="N297" s="144" t="s">
        <v>6</v>
      </c>
      <c r="O297" s="6" t="s">
        <v>19</v>
      </c>
      <c r="P297" s="5" t="s">
        <v>758</v>
      </c>
      <c r="Q297" s="5" t="s">
        <v>0</v>
      </c>
      <c r="R297" s="7" t="s">
        <v>11</v>
      </c>
    </row>
    <row r="298" spans="1:18" ht="15.75" hidden="1" customHeight="1">
      <c r="A298" s="196" t="str">
        <f>HYPERLINK("http://sipi.sic.gov.co/sipi/View.ashx?4212722","SD2022/0058380")</f>
        <v>SD2022/0058380</v>
      </c>
      <c r="B298" s="8" t="s">
        <v>759</v>
      </c>
      <c r="C298" s="57" t="s">
        <v>13</v>
      </c>
      <c r="D298" s="104" t="s">
        <v>8</v>
      </c>
      <c r="E298" s="67"/>
      <c r="F298" s="68"/>
      <c r="G298" s="66" t="s">
        <v>6</v>
      </c>
      <c r="H298" s="66"/>
      <c r="I298" s="122"/>
      <c r="J298" s="68"/>
      <c r="K298" s="66" t="s">
        <v>6</v>
      </c>
      <c r="L298" s="66"/>
      <c r="M298" s="143" t="s">
        <v>1848</v>
      </c>
      <c r="N298" s="144" t="s">
        <v>6</v>
      </c>
      <c r="O298" s="6" t="s">
        <v>19</v>
      </c>
      <c r="P298" s="5" t="s">
        <v>760</v>
      </c>
      <c r="Q298" s="5" t="s">
        <v>23</v>
      </c>
      <c r="R298" s="7" t="s">
        <v>761</v>
      </c>
    </row>
    <row r="299" spans="1:18" ht="105" hidden="1" customHeight="1">
      <c r="A299" s="196" t="str">
        <f>HYPERLINK("http://sipi.sic.gov.co/sipi/View.ashx?4212754","SD2022/0058395")</f>
        <v>SD2022/0058395</v>
      </c>
      <c r="B299" s="8" t="s">
        <v>762</v>
      </c>
      <c r="C299" s="57" t="s">
        <v>13</v>
      </c>
      <c r="D299" s="104" t="s">
        <v>8</v>
      </c>
      <c r="E299" s="67"/>
      <c r="F299" s="68"/>
      <c r="G299" s="66" t="s">
        <v>6</v>
      </c>
      <c r="H299" s="66"/>
      <c r="I299" s="122"/>
      <c r="J299" s="68"/>
      <c r="K299" s="66" t="s">
        <v>6</v>
      </c>
      <c r="L299" s="66"/>
      <c r="M299" s="143" t="s">
        <v>1848</v>
      </c>
      <c r="N299" s="144" t="s">
        <v>6</v>
      </c>
      <c r="O299" s="6" t="s">
        <v>19</v>
      </c>
      <c r="P299" s="5" t="s">
        <v>760</v>
      </c>
      <c r="Q299" s="5" t="s">
        <v>23</v>
      </c>
      <c r="R299" s="7" t="s">
        <v>763</v>
      </c>
    </row>
    <row r="300" spans="1:18" ht="15.75" hidden="1" customHeight="1">
      <c r="A300" s="196" t="str">
        <f>HYPERLINK("http://sipi.sic.gov.co/sipi/View.ashx?4212943","SD2022/0058450")</f>
        <v>SD2022/0058450</v>
      </c>
      <c r="B300" s="8" t="s">
        <v>764</v>
      </c>
      <c r="C300" s="57" t="s">
        <v>7</v>
      </c>
      <c r="D300" s="104" t="s">
        <v>8</v>
      </c>
      <c r="E300" s="67"/>
      <c r="F300" s="68"/>
      <c r="G300" s="66" t="s">
        <v>6</v>
      </c>
      <c r="H300" s="66"/>
      <c r="I300" s="122"/>
      <c r="J300" s="68"/>
      <c r="K300" s="66" t="s">
        <v>6</v>
      </c>
      <c r="L300" s="66"/>
      <c r="M300" s="143" t="s">
        <v>1848</v>
      </c>
      <c r="N300" s="144" t="s">
        <v>6</v>
      </c>
      <c r="O300" s="6" t="s">
        <v>19</v>
      </c>
      <c r="P300" s="5" t="s">
        <v>765</v>
      </c>
      <c r="Q300" s="5" t="s">
        <v>0</v>
      </c>
      <c r="R300" s="7" t="s">
        <v>766</v>
      </c>
    </row>
    <row r="301" spans="1:18" ht="15.75" hidden="1" customHeight="1">
      <c r="A301" s="196" t="str">
        <f>HYPERLINK("http://sipi.sic.gov.co/sipi/View.ashx?4214622","SD2022/0058838")</f>
        <v>SD2022/0058838</v>
      </c>
      <c r="B301" s="8" t="s">
        <v>767</v>
      </c>
      <c r="C301" s="57" t="s">
        <v>7</v>
      </c>
      <c r="D301" s="104" t="s">
        <v>8</v>
      </c>
      <c r="E301" s="67"/>
      <c r="F301" s="68"/>
      <c r="G301" s="66" t="s">
        <v>6</v>
      </c>
      <c r="H301" s="66"/>
      <c r="I301" s="122"/>
      <c r="J301" s="68"/>
      <c r="K301" s="66" t="s">
        <v>6</v>
      </c>
      <c r="L301" s="66"/>
      <c r="M301" s="143" t="s">
        <v>1848</v>
      </c>
      <c r="N301" s="144" t="s">
        <v>6</v>
      </c>
      <c r="O301" s="6" t="s">
        <v>19</v>
      </c>
      <c r="P301" s="5" t="s">
        <v>648</v>
      </c>
      <c r="Q301" s="5" t="s">
        <v>0</v>
      </c>
      <c r="R301" s="7" t="s">
        <v>649</v>
      </c>
    </row>
    <row r="302" spans="1:18" ht="15.75" hidden="1" customHeight="1">
      <c r="A302" s="196" t="str">
        <f>HYPERLINK("http://sipi.sic.gov.co/sipi/View.ashx?4216185","SD2022/0059098")</f>
        <v>SD2022/0059098</v>
      </c>
      <c r="B302" s="8" t="s">
        <v>768</v>
      </c>
      <c r="C302" s="57" t="s">
        <v>7</v>
      </c>
      <c r="D302" s="104" t="s">
        <v>17</v>
      </c>
      <c r="E302" s="71" t="s">
        <v>769</v>
      </c>
      <c r="F302" s="68" t="s">
        <v>1754</v>
      </c>
      <c r="G302" s="66" t="s">
        <v>1848</v>
      </c>
      <c r="H302" s="66" t="s">
        <v>19</v>
      </c>
      <c r="I302" s="122"/>
      <c r="J302" s="68"/>
      <c r="K302" s="66" t="s">
        <v>6</v>
      </c>
      <c r="L302" s="66"/>
      <c r="M302" s="143" t="s">
        <v>1848</v>
      </c>
      <c r="N302" s="144" t="s">
        <v>6</v>
      </c>
      <c r="O302" s="6" t="s">
        <v>19</v>
      </c>
      <c r="P302" s="5" t="s">
        <v>770</v>
      </c>
      <c r="Q302" s="5" t="s">
        <v>0</v>
      </c>
      <c r="R302" s="7" t="s">
        <v>771</v>
      </c>
    </row>
    <row r="303" spans="1:18" ht="15.75" hidden="1" customHeight="1">
      <c r="A303" s="196" t="str">
        <f>HYPERLINK("http://sipi.sic.gov.co/sipi/View.ashx?4216211","SD2022/0059127")</f>
        <v>SD2022/0059127</v>
      </c>
      <c r="B303" s="8" t="s">
        <v>772</v>
      </c>
      <c r="C303" s="57" t="s">
        <v>13</v>
      </c>
      <c r="D303" s="104" t="s">
        <v>8</v>
      </c>
      <c r="E303" s="67"/>
      <c r="F303" s="68"/>
      <c r="G303" s="66" t="s">
        <v>6</v>
      </c>
      <c r="H303" s="66"/>
      <c r="I303" s="122"/>
      <c r="J303" s="68"/>
      <c r="K303" s="66" t="s">
        <v>6</v>
      </c>
      <c r="L303" s="66"/>
      <c r="M303" s="143" t="s">
        <v>1848</v>
      </c>
      <c r="N303" s="144" t="s">
        <v>6</v>
      </c>
      <c r="O303" s="6" t="s">
        <v>19</v>
      </c>
      <c r="P303" s="5" t="s">
        <v>248</v>
      </c>
      <c r="Q303" s="5" t="s">
        <v>773</v>
      </c>
      <c r="R303" s="7" t="s">
        <v>774</v>
      </c>
    </row>
    <row r="304" spans="1:18" ht="15.75" hidden="1" customHeight="1">
      <c r="A304" s="196" t="str">
        <f>HYPERLINK("http://sipi.sic.gov.co/sipi/View.ashx?4219069","SD2022/0059854")</f>
        <v>SD2022/0059854</v>
      </c>
      <c r="B304" s="8" t="s">
        <v>775</v>
      </c>
      <c r="C304" s="57" t="s">
        <v>7</v>
      </c>
      <c r="D304" s="104" t="s">
        <v>8</v>
      </c>
      <c r="E304" s="67"/>
      <c r="F304" s="68"/>
      <c r="G304" s="66" t="s">
        <v>6</v>
      </c>
      <c r="H304" s="66"/>
      <c r="I304" s="122"/>
      <c r="J304" s="68"/>
      <c r="K304" s="66" t="s">
        <v>6</v>
      </c>
      <c r="L304" s="66"/>
      <c r="M304" s="143" t="s">
        <v>1859</v>
      </c>
      <c r="N304" s="144" t="s">
        <v>6</v>
      </c>
      <c r="O304" s="6" t="s">
        <v>19</v>
      </c>
      <c r="P304" s="5" t="s">
        <v>776</v>
      </c>
      <c r="Q304" s="5" t="s">
        <v>0</v>
      </c>
      <c r="R304" s="7" t="s">
        <v>777</v>
      </c>
    </row>
    <row r="305" spans="1:18" ht="48.75" hidden="1" customHeight="1">
      <c r="A305" s="196" t="str">
        <f>HYPERLINK("http://sipi.sic.gov.co/sipi/View.ashx?4222911","SD2022/0060997")</f>
        <v>SD2022/0060997</v>
      </c>
      <c r="B305" s="8" t="s">
        <v>778</v>
      </c>
      <c r="C305" s="57" t="s">
        <v>7</v>
      </c>
      <c r="D305" s="104" t="s">
        <v>17</v>
      </c>
      <c r="E305" s="71" t="s">
        <v>779</v>
      </c>
      <c r="F305" s="68" t="s">
        <v>1755</v>
      </c>
      <c r="G305" s="66" t="s">
        <v>1848</v>
      </c>
      <c r="H305" s="66" t="s">
        <v>9</v>
      </c>
      <c r="I305" s="122"/>
      <c r="J305" s="68"/>
      <c r="K305" s="66" t="s">
        <v>6</v>
      </c>
      <c r="L305" s="66"/>
      <c r="M305" s="143" t="s">
        <v>1848</v>
      </c>
      <c r="N305" s="144" t="s">
        <v>6</v>
      </c>
      <c r="O305" s="6" t="s">
        <v>19</v>
      </c>
      <c r="P305" s="5" t="s">
        <v>780</v>
      </c>
      <c r="Q305" s="5" t="s">
        <v>0</v>
      </c>
      <c r="R305" s="7" t="s">
        <v>781</v>
      </c>
    </row>
    <row r="306" spans="1:18" ht="15.75" hidden="1" customHeight="1">
      <c r="A306" s="196" t="str">
        <f>HYPERLINK("http://sipi.sic.gov.co/sipi/View.ashx?4222944","SD2022/0061008")</f>
        <v>SD2022/0061008</v>
      </c>
      <c r="B306" s="8" t="s">
        <v>782</v>
      </c>
      <c r="C306" s="57" t="s">
        <v>7</v>
      </c>
      <c r="D306" s="104" t="s">
        <v>8</v>
      </c>
      <c r="E306" s="67"/>
      <c r="F306" s="68"/>
      <c r="G306" s="66" t="s">
        <v>6</v>
      </c>
      <c r="H306" s="66"/>
      <c r="I306" s="122"/>
      <c r="J306" s="68"/>
      <c r="K306" s="66" t="s">
        <v>6</v>
      </c>
      <c r="L306" s="66"/>
      <c r="M306" s="143" t="s">
        <v>1848</v>
      </c>
      <c r="N306" s="144" t="s">
        <v>6</v>
      </c>
      <c r="O306" s="6" t="s">
        <v>19</v>
      </c>
      <c r="P306" s="5" t="s">
        <v>780</v>
      </c>
      <c r="Q306" s="5" t="s">
        <v>0</v>
      </c>
      <c r="R306" s="7" t="s">
        <v>781</v>
      </c>
    </row>
    <row r="307" spans="1:18" ht="15.75" hidden="1" customHeight="1">
      <c r="A307" s="196" t="str">
        <f>HYPERLINK("http://sipi.sic.gov.co/sipi/View.ashx?4222954","SD2022/0061016")</f>
        <v>SD2022/0061016</v>
      </c>
      <c r="B307" s="8" t="s">
        <v>783</v>
      </c>
      <c r="C307" s="57" t="s">
        <v>7</v>
      </c>
      <c r="D307" s="104" t="s">
        <v>8</v>
      </c>
      <c r="E307" s="67"/>
      <c r="F307" s="68"/>
      <c r="G307" s="66" t="s">
        <v>6</v>
      </c>
      <c r="H307" s="66"/>
      <c r="I307" s="122"/>
      <c r="J307" s="68"/>
      <c r="K307" s="66" t="s">
        <v>6</v>
      </c>
      <c r="L307" s="66"/>
      <c r="M307" s="143" t="s">
        <v>1848</v>
      </c>
      <c r="N307" s="144" t="s">
        <v>6</v>
      </c>
      <c r="O307" s="6" t="s">
        <v>19</v>
      </c>
      <c r="P307" s="5" t="s">
        <v>780</v>
      </c>
      <c r="Q307" s="5" t="s">
        <v>0</v>
      </c>
      <c r="R307" s="7" t="s">
        <v>781</v>
      </c>
    </row>
    <row r="308" spans="1:18" ht="15.75" hidden="1" customHeight="1">
      <c r="A308" s="196" t="str">
        <f>HYPERLINK("http://sipi.sic.gov.co/sipi/View.ashx?4223178","SD2022/0060959")</f>
        <v>SD2022/0060959</v>
      </c>
      <c r="B308" s="8" t="s">
        <v>784</v>
      </c>
      <c r="C308" s="57" t="s">
        <v>7</v>
      </c>
      <c r="D308" s="104" t="s">
        <v>17</v>
      </c>
      <c r="E308" s="71" t="s">
        <v>785</v>
      </c>
      <c r="F308" s="68" t="s">
        <v>1756</v>
      </c>
      <c r="G308" s="66" t="s">
        <v>1848</v>
      </c>
      <c r="H308" s="66" t="s">
        <v>19</v>
      </c>
      <c r="I308" s="122"/>
      <c r="J308" s="68"/>
      <c r="K308" s="66" t="s">
        <v>6</v>
      </c>
      <c r="L308" s="66"/>
      <c r="M308" s="143" t="s">
        <v>1849</v>
      </c>
      <c r="N308" s="144" t="s">
        <v>6</v>
      </c>
      <c r="O308" s="6" t="s">
        <v>19</v>
      </c>
      <c r="P308" s="5" t="s">
        <v>786</v>
      </c>
      <c r="Q308" s="5" t="s">
        <v>0</v>
      </c>
      <c r="R308" s="7" t="s">
        <v>787</v>
      </c>
    </row>
    <row r="309" spans="1:18" ht="15.75" hidden="1" customHeight="1">
      <c r="A309" s="196" t="str">
        <f>HYPERLINK("http://sipi.sic.gov.co/sipi/View.ashx?4223463","SD2022/0061225")</f>
        <v>SD2022/0061225</v>
      </c>
      <c r="B309" s="8" t="s">
        <v>788</v>
      </c>
      <c r="C309" s="57" t="s">
        <v>7</v>
      </c>
      <c r="D309" s="104" t="s">
        <v>17</v>
      </c>
      <c r="E309" s="71" t="s">
        <v>789</v>
      </c>
      <c r="F309" s="68" t="s">
        <v>1757</v>
      </c>
      <c r="G309" s="66" t="s">
        <v>1848</v>
      </c>
      <c r="H309" s="66" t="s">
        <v>9</v>
      </c>
      <c r="I309" s="130"/>
      <c r="J309" s="68"/>
      <c r="K309" s="66" t="s">
        <v>6</v>
      </c>
      <c r="L309" s="66"/>
      <c r="M309" s="143" t="s">
        <v>1848</v>
      </c>
      <c r="N309" s="144" t="s">
        <v>6</v>
      </c>
      <c r="O309" s="6" t="s">
        <v>9</v>
      </c>
      <c r="P309" s="5" t="s">
        <v>790</v>
      </c>
      <c r="Q309" s="5" t="s">
        <v>278</v>
      </c>
      <c r="R309" s="7" t="s">
        <v>791</v>
      </c>
    </row>
    <row r="310" spans="1:18" ht="15.75" customHeight="1">
      <c r="A310" s="196" t="str">
        <f>HYPERLINK("http://sipi.sic.gov.co/sipi/View.ashx?4224962","SD2022/0061410")</f>
        <v>SD2022/0061410</v>
      </c>
      <c r="B310" s="8" t="s">
        <v>792</v>
      </c>
      <c r="C310" s="57" t="s">
        <v>7</v>
      </c>
      <c r="D310" s="104" t="s">
        <v>17</v>
      </c>
      <c r="E310" s="71" t="s">
        <v>793</v>
      </c>
      <c r="F310" s="68" t="s">
        <v>1732</v>
      </c>
      <c r="G310" s="66" t="s">
        <v>1848</v>
      </c>
      <c r="H310" s="66" t="s">
        <v>19</v>
      </c>
      <c r="I310" s="130" t="s">
        <v>794</v>
      </c>
      <c r="J310" s="68" t="s">
        <v>1834</v>
      </c>
      <c r="K310" s="66" t="s">
        <v>1848</v>
      </c>
      <c r="L310" s="66" t="s">
        <v>19</v>
      </c>
      <c r="M310" s="143" t="s">
        <v>1848</v>
      </c>
      <c r="N310" s="144" t="s">
        <v>6</v>
      </c>
      <c r="O310" s="6" t="s">
        <v>19</v>
      </c>
      <c r="P310" s="5" t="s">
        <v>795</v>
      </c>
      <c r="Q310" s="5" t="s">
        <v>0</v>
      </c>
      <c r="R310" s="7" t="s">
        <v>796</v>
      </c>
    </row>
    <row r="311" spans="1:18" ht="15.75" hidden="1" customHeight="1">
      <c r="A311" s="196" t="str">
        <f>HYPERLINK("http://sipi.sic.gov.co/sipi/View.ashx?4224975","SD2022/0061405")</f>
        <v>SD2022/0061405</v>
      </c>
      <c r="B311" s="8" t="s">
        <v>797</v>
      </c>
      <c r="C311" s="57" t="s">
        <v>7</v>
      </c>
      <c r="D311" s="104" t="s">
        <v>8</v>
      </c>
      <c r="E311" s="67"/>
      <c r="F311" s="68"/>
      <c r="G311" s="66" t="s">
        <v>6</v>
      </c>
      <c r="H311" s="66"/>
      <c r="I311" s="122"/>
      <c r="J311" s="68"/>
      <c r="K311" s="66" t="s">
        <v>6</v>
      </c>
      <c r="L311" s="66"/>
      <c r="M311" s="143" t="s">
        <v>1848</v>
      </c>
      <c r="N311" s="144" t="s">
        <v>6</v>
      </c>
      <c r="O311" s="6" t="s">
        <v>19</v>
      </c>
      <c r="P311" s="5" t="s">
        <v>795</v>
      </c>
      <c r="Q311" s="5" t="s">
        <v>0</v>
      </c>
      <c r="R311" s="7" t="s">
        <v>11</v>
      </c>
    </row>
    <row r="312" spans="1:18" ht="15.75" hidden="1" customHeight="1">
      <c r="A312" s="196" t="str">
        <f>HYPERLINK("http://sipi.sic.gov.co/sipi/View.ashx?4225363","SD2022/0061490")</f>
        <v>SD2022/0061490</v>
      </c>
      <c r="B312" s="8" t="s">
        <v>798</v>
      </c>
      <c r="C312" s="57" t="s">
        <v>13</v>
      </c>
      <c r="D312" s="104" t="s">
        <v>8</v>
      </c>
      <c r="E312" s="67"/>
      <c r="F312" s="68"/>
      <c r="G312" s="66" t="s">
        <v>6</v>
      </c>
      <c r="H312" s="66"/>
      <c r="I312" s="122"/>
      <c r="J312" s="68"/>
      <c r="K312" s="66" t="s">
        <v>6</v>
      </c>
      <c r="L312" s="66"/>
      <c r="M312" s="143" t="s">
        <v>1860</v>
      </c>
      <c r="N312" s="144" t="s">
        <v>6</v>
      </c>
      <c r="O312" s="6" t="s">
        <v>19</v>
      </c>
      <c r="P312" s="5" t="s">
        <v>799</v>
      </c>
      <c r="Q312" s="5" t="s">
        <v>76</v>
      </c>
      <c r="R312" s="7" t="s">
        <v>800</v>
      </c>
    </row>
    <row r="313" spans="1:18" ht="67.5" hidden="1" customHeight="1">
      <c r="A313" s="196" t="str">
        <f>HYPERLINK("http://sipi.sic.gov.co/sipi/View.ashx?4227182","SD2022/0062258")</f>
        <v>SD2022/0062258</v>
      </c>
      <c r="B313" s="8" t="s">
        <v>801</v>
      </c>
      <c r="C313" s="57" t="s">
        <v>13</v>
      </c>
      <c r="D313" s="104" t="s">
        <v>8</v>
      </c>
      <c r="E313" s="67"/>
      <c r="F313" s="68"/>
      <c r="G313" s="66" t="s">
        <v>6</v>
      </c>
      <c r="H313" s="66"/>
      <c r="I313" s="122"/>
      <c r="J313" s="68"/>
      <c r="K313" s="66" t="s">
        <v>6</v>
      </c>
      <c r="L313" s="66"/>
      <c r="M313" s="143" t="s">
        <v>1848</v>
      </c>
      <c r="N313" s="144" t="s">
        <v>6</v>
      </c>
      <c r="O313" s="6" t="s">
        <v>9</v>
      </c>
      <c r="P313" s="5" t="s">
        <v>802</v>
      </c>
      <c r="Q313" s="5" t="s">
        <v>0</v>
      </c>
      <c r="R313" s="7" t="s">
        <v>803</v>
      </c>
    </row>
    <row r="314" spans="1:18" ht="15.75" hidden="1" customHeight="1">
      <c r="A314" s="196" t="str">
        <f>HYPERLINK("http://sipi.sic.gov.co/sipi/View.ashx?4227798","SD2022/0062590")</f>
        <v>SD2022/0062590</v>
      </c>
      <c r="B314" s="8" t="s">
        <v>804</v>
      </c>
      <c r="C314" s="57" t="s">
        <v>13</v>
      </c>
      <c r="D314" s="104" t="s">
        <v>8</v>
      </c>
      <c r="E314" s="67"/>
      <c r="F314" s="68"/>
      <c r="G314" s="66" t="s">
        <v>6</v>
      </c>
      <c r="H314" s="66"/>
      <c r="I314" s="122"/>
      <c r="J314" s="68"/>
      <c r="K314" s="66" t="s">
        <v>6</v>
      </c>
      <c r="L314" s="66"/>
      <c r="M314" s="143" t="s">
        <v>1860</v>
      </c>
      <c r="N314" s="144" t="s">
        <v>6</v>
      </c>
      <c r="O314" s="6" t="s">
        <v>19</v>
      </c>
      <c r="P314" s="5" t="s">
        <v>805</v>
      </c>
      <c r="Q314" s="5" t="s">
        <v>0</v>
      </c>
      <c r="R314" s="7" t="s">
        <v>806</v>
      </c>
    </row>
    <row r="315" spans="1:18" ht="109.5" hidden="1" customHeight="1">
      <c r="A315" s="196" t="str">
        <f>HYPERLINK("http://sipi.sic.gov.co/sipi/View.ashx?4228003","SD2022/0062106")</f>
        <v>SD2022/0062106</v>
      </c>
      <c r="B315" s="8" t="s">
        <v>807</v>
      </c>
      <c r="C315" s="57" t="s">
        <v>13</v>
      </c>
      <c r="D315" s="104" t="s">
        <v>8</v>
      </c>
      <c r="E315" s="67"/>
      <c r="F315" s="68"/>
      <c r="G315" s="66" t="s">
        <v>6</v>
      </c>
      <c r="H315" s="66"/>
      <c r="I315" s="122"/>
      <c r="J315" s="68"/>
      <c r="K315" s="66" t="s">
        <v>6</v>
      </c>
      <c r="L315" s="66"/>
      <c r="M315" s="143" t="s">
        <v>1848</v>
      </c>
      <c r="N315" s="144" t="s">
        <v>6</v>
      </c>
      <c r="O315" s="6" t="s">
        <v>9</v>
      </c>
      <c r="P315" s="5" t="s">
        <v>431</v>
      </c>
      <c r="Q315" s="5" t="s">
        <v>0</v>
      </c>
      <c r="R315" s="7" t="s">
        <v>808</v>
      </c>
    </row>
    <row r="316" spans="1:18" ht="15.75" hidden="1" customHeight="1">
      <c r="A316" s="196" t="str">
        <f>HYPERLINK("http://sipi.sic.gov.co/sipi/View.ashx?4228563","SD2022/0062265")</f>
        <v>SD2022/0062265</v>
      </c>
      <c r="B316" s="8" t="s">
        <v>809</v>
      </c>
      <c r="C316" s="57" t="s">
        <v>7</v>
      </c>
      <c r="D316" s="104" t="s">
        <v>8</v>
      </c>
      <c r="E316" s="67"/>
      <c r="F316" s="68"/>
      <c r="G316" s="66" t="s">
        <v>6</v>
      </c>
      <c r="H316" s="66"/>
      <c r="I316" s="122"/>
      <c r="J316" s="68"/>
      <c r="K316" s="66" t="s">
        <v>6</v>
      </c>
      <c r="L316" s="66"/>
      <c r="M316" s="143" t="s">
        <v>1848</v>
      </c>
      <c r="N316" s="144" t="s">
        <v>6</v>
      </c>
      <c r="O316" s="6" t="s">
        <v>19</v>
      </c>
      <c r="P316" s="5" t="s">
        <v>810</v>
      </c>
      <c r="Q316" s="5" t="s">
        <v>0</v>
      </c>
      <c r="R316" s="7" t="s">
        <v>811</v>
      </c>
    </row>
    <row r="317" spans="1:18" ht="15.75" hidden="1" customHeight="1">
      <c r="A317" s="196" t="str">
        <f>HYPERLINK("http://sipi.sic.gov.co/sipi/View.ashx?4228845","SD2022/0062314")</f>
        <v>SD2022/0062314</v>
      </c>
      <c r="B317" s="8" t="s">
        <v>812</v>
      </c>
      <c r="C317" s="57" t="s">
        <v>7</v>
      </c>
      <c r="D317" s="104" t="s">
        <v>8</v>
      </c>
      <c r="E317" s="67"/>
      <c r="F317" s="68"/>
      <c r="G317" s="66" t="s">
        <v>6</v>
      </c>
      <c r="H317" s="66"/>
      <c r="I317" s="122"/>
      <c r="J317" s="68"/>
      <c r="K317" s="66" t="s">
        <v>6</v>
      </c>
      <c r="L317" s="66"/>
      <c r="M317" s="143" t="s">
        <v>1848</v>
      </c>
      <c r="N317" s="144" t="s">
        <v>6</v>
      </c>
      <c r="O317" s="6" t="s">
        <v>19</v>
      </c>
      <c r="P317" s="5" t="s">
        <v>813</v>
      </c>
      <c r="Q317" s="5" t="s">
        <v>0</v>
      </c>
      <c r="R317" s="7" t="s">
        <v>814</v>
      </c>
    </row>
    <row r="318" spans="1:18" ht="15.75" hidden="1" customHeight="1">
      <c r="A318" s="196" t="str">
        <f>HYPERLINK("http://sipi.sic.gov.co/sipi/View.ashx?4228860","SD2022/0062319")</f>
        <v>SD2022/0062319</v>
      </c>
      <c r="B318" s="8" t="s">
        <v>815</v>
      </c>
      <c r="C318" s="57" t="s">
        <v>7</v>
      </c>
      <c r="D318" s="104" t="s">
        <v>8</v>
      </c>
      <c r="E318" s="67"/>
      <c r="F318" s="68"/>
      <c r="G318" s="66" t="s">
        <v>6</v>
      </c>
      <c r="H318" s="66"/>
      <c r="I318" s="122"/>
      <c r="J318" s="68"/>
      <c r="K318" s="66" t="s">
        <v>6</v>
      </c>
      <c r="L318" s="66"/>
      <c r="M318" s="143" t="s">
        <v>1848</v>
      </c>
      <c r="N318" s="144" t="s">
        <v>6</v>
      </c>
      <c r="O318" s="6" t="s">
        <v>19</v>
      </c>
      <c r="P318" s="5" t="s">
        <v>813</v>
      </c>
      <c r="Q318" s="5" t="s">
        <v>0</v>
      </c>
      <c r="R318" s="7" t="s">
        <v>816</v>
      </c>
    </row>
    <row r="319" spans="1:18" ht="15.75" hidden="1" customHeight="1">
      <c r="A319" s="196" t="str">
        <f>HYPERLINK("http://sipi.sic.gov.co/sipi/View.ashx?4229076","SD2022/0064027")</f>
        <v>SD2022/0064027</v>
      </c>
      <c r="B319" s="8" t="s">
        <v>817</v>
      </c>
      <c r="C319" s="57" t="s">
        <v>7</v>
      </c>
      <c r="D319" s="104" t="s">
        <v>17</v>
      </c>
      <c r="E319" s="71" t="s">
        <v>818</v>
      </c>
      <c r="F319" s="68" t="s">
        <v>1758</v>
      </c>
      <c r="G319" s="66" t="s">
        <v>1848</v>
      </c>
      <c r="H319" s="66" t="s">
        <v>9</v>
      </c>
      <c r="I319" s="122"/>
      <c r="J319" s="68"/>
      <c r="K319" s="66" t="s">
        <v>6</v>
      </c>
      <c r="L319" s="66"/>
      <c r="M319" s="143" t="s">
        <v>1848</v>
      </c>
      <c r="N319" s="144" t="s">
        <v>6</v>
      </c>
      <c r="O319" s="6" t="s">
        <v>9</v>
      </c>
      <c r="P319" s="5" t="s">
        <v>130</v>
      </c>
      <c r="Q319" s="5" t="s">
        <v>0</v>
      </c>
      <c r="R319" s="7" t="s">
        <v>819</v>
      </c>
    </row>
    <row r="320" spans="1:18" ht="15.75" hidden="1" customHeight="1">
      <c r="A320" s="196" t="str">
        <f>HYPERLINK("http://sipi.sic.gov.co/sipi/View.ashx?4229287","SD2022/0062596")</f>
        <v>SD2022/0062596</v>
      </c>
      <c r="B320" s="8" t="s">
        <v>820</v>
      </c>
      <c r="C320" s="57" t="s">
        <v>7</v>
      </c>
      <c r="D320" s="104" t="s">
        <v>17</v>
      </c>
      <c r="E320" s="71" t="s">
        <v>821</v>
      </c>
      <c r="F320" s="68" t="s">
        <v>1759</v>
      </c>
      <c r="G320" s="66" t="s">
        <v>1848</v>
      </c>
      <c r="H320" s="66" t="s">
        <v>9</v>
      </c>
      <c r="I320" s="122"/>
      <c r="J320" s="68"/>
      <c r="K320" s="66" t="s">
        <v>6</v>
      </c>
      <c r="L320" s="66"/>
      <c r="M320" s="143" t="s">
        <v>1848</v>
      </c>
      <c r="N320" s="144" t="s">
        <v>6</v>
      </c>
      <c r="O320" s="6" t="s">
        <v>9</v>
      </c>
      <c r="P320" s="5" t="s">
        <v>822</v>
      </c>
      <c r="Q320" s="5" t="s">
        <v>0</v>
      </c>
      <c r="R320" s="7" t="s">
        <v>823</v>
      </c>
    </row>
    <row r="321" spans="1:18" ht="15.75" hidden="1" customHeight="1">
      <c r="A321" s="197" t="str">
        <f>HYPERLINK("http://sipi.sic.gov.co/sipi/View.ashx?4231173","SD2022/0063014")</f>
        <v>SD2022/0063014</v>
      </c>
      <c r="B321" s="156" t="s">
        <v>824</v>
      </c>
      <c r="C321" s="159" t="s">
        <v>7</v>
      </c>
      <c r="D321" s="160" t="s">
        <v>17</v>
      </c>
      <c r="E321" s="158" t="s">
        <v>825</v>
      </c>
      <c r="F321" s="161" t="s">
        <v>1720</v>
      </c>
      <c r="G321" s="66" t="s">
        <v>1848</v>
      </c>
      <c r="H321" s="66" t="s">
        <v>19</v>
      </c>
      <c r="I321" s="122"/>
      <c r="J321" s="68"/>
      <c r="K321" s="66"/>
      <c r="L321" s="66"/>
      <c r="M321" s="143" t="s">
        <v>6</v>
      </c>
      <c r="N321" s="144" t="s">
        <v>6</v>
      </c>
      <c r="O321" s="6"/>
      <c r="P321" s="5"/>
      <c r="Q321" s="5"/>
      <c r="R321" s="7"/>
    </row>
    <row r="322" spans="1:18" ht="33.75" hidden="1" customHeight="1">
      <c r="A322" s="198"/>
      <c r="B322" s="156" t="s">
        <v>824</v>
      </c>
      <c r="C322" s="159" t="s">
        <v>7</v>
      </c>
      <c r="D322" s="160" t="s">
        <v>17</v>
      </c>
      <c r="E322" s="158" t="s">
        <v>825</v>
      </c>
      <c r="F322" s="161" t="s">
        <v>1720</v>
      </c>
      <c r="G322" s="66" t="s">
        <v>1849</v>
      </c>
      <c r="H322" s="66" t="s">
        <v>19</v>
      </c>
      <c r="I322" s="130"/>
      <c r="J322" s="68"/>
      <c r="M322" s="143" t="s">
        <v>1851</v>
      </c>
      <c r="N322" s="144" t="s">
        <v>6</v>
      </c>
      <c r="O322" s="6" t="s">
        <v>19</v>
      </c>
      <c r="P322" s="5" t="s">
        <v>826</v>
      </c>
      <c r="Q322" s="5" t="s">
        <v>0</v>
      </c>
      <c r="R322" s="7" t="s">
        <v>827</v>
      </c>
    </row>
    <row r="323" spans="1:18" ht="33.75" hidden="1" customHeight="1">
      <c r="A323" s="197" t="str">
        <f>HYPERLINK("http://sipi.sic.gov.co/sipi/View.ashx?4231356","SD2022/0063180")</f>
        <v>SD2022/0063180</v>
      </c>
      <c r="B323" s="156" t="s">
        <v>828</v>
      </c>
      <c r="C323" s="159" t="s">
        <v>7</v>
      </c>
      <c r="D323" s="160" t="s">
        <v>17</v>
      </c>
      <c r="E323" s="158" t="s">
        <v>829</v>
      </c>
      <c r="F323" s="161" t="s">
        <v>1835</v>
      </c>
      <c r="G323" s="66" t="s">
        <v>1848</v>
      </c>
      <c r="H323" s="66" t="s">
        <v>9</v>
      </c>
      <c r="I323" s="130"/>
      <c r="J323" s="68"/>
      <c r="K323" s="66"/>
      <c r="L323" s="66"/>
      <c r="M323" s="143" t="s">
        <v>6</v>
      </c>
      <c r="N323" s="144" t="s">
        <v>6</v>
      </c>
      <c r="O323" s="6"/>
      <c r="P323" s="5"/>
      <c r="Q323" s="5"/>
      <c r="R323" s="7"/>
    </row>
    <row r="324" spans="1:18" ht="30" hidden="1" customHeight="1">
      <c r="A324" s="198"/>
      <c r="B324" s="156" t="s">
        <v>828</v>
      </c>
      <c r="C324" s="159" t="s">
        <v>7</v>
      </c>
      <c r="D324" s="160" t="s">
        <v>17</v>
      </c>
      <c r="E324" s="158" t="s">
        <v>829</v>
      </c>
      <c r="F324" s="161" t="s">
        <v>1835</v>
      </c>
      <c r="G324" s="66" t="s">
        <v>1849</v>
      </c>
      <c r="H324" s="66" t="s">
        <v>19</v>
      </c>
      <c r="I324" s="130"/>
      <c r="J324" s="68"/>
      <c r="M324" s="143" t="s">
        <v>1848</v>
      </c>
      <c r="N324" s="144" t="s">
        <v>6</v>
      </c>
      <c r="O324" s="6" t="s">
        <v>9</v>
      </c>
      <c r="P324" s="5" t="s">
        <v>575</v>
      </c>
      <c r="Q324" s="5" t="s">
        <v>0</v>
      </c>
      <c r="R324" s="7" t="s">
        <v>830</v>
      </c>
    </row>
    <row r="325" spans="1:18" ht="30" hidden="1" customHeight="1">
      <c r="A325" s="197" t="str">
        <f>HYPERLINK("http://sipi.sic.gov.co/sipi/View.ashx?4231374","SD2022/0063184")</f>
        <v>SD2022/0063184</v>
      </c>
      <c r="B325" s="156" t="s">
        <v>831</v>
      </c>
      <c r="C325" s="159" t="s">
        <v>7</v>
      </c>
      <c r="D325" s="160" t="s">
        <v>17</v>
      </c>
      <c r="E325" s="158" t="s">
        <v>829</v>
      </c>
      <c r="F325" s="161" t="s">
        <v>1760</v>
      </c>
      <c r="G325" s="66" t="s">
        <v>1848</v>
      </c>
      <c r="H325" s="66" t="s">
        <v>9</v>
      </c>
      <c r="I325" s="130"/>
      <c r="J325" s="68"/>
      <c r="K325" s="66"/>
      <c r="L325" s="66"/>
      <c r="M325" s="143" t="s">
        <v>6</v>
      </c>
      <c r="N325" s="144" t="s">
        <v>6</v>
      </c>
      <c r="O325" s="6"/>
      <c r="P325" s="5"/>
      <c r="Q325" s="5"/>
      <c r="R325" s="7"/>
    </row>
    <row r="326" spans="1:18" ht="46.8" hidden="1" customHeight="1">
      <c r="A326" s="198"/>
      <c r="B326" s="156" t="s">
        <v>831</v>
      </c>
      <c r="C326" s="159" t="s">
        <v>7</v>
      </c>
      <c r="D326" s="160" t="s">
        <v>17</v>
      </c>
      <c r="E326" s="158" t="s">
        <v>829</v>
      </c>
      <c r="F326" s="161" t="s">
        <v>1760</v>
      </c>
      <c r="G326" s="66" t="s">
        <v>1849</v>
      </c>
      <c r="H326" s="66" t="s">
        <v>19</v>
      </c>
      <c r="I326" s="130"/>
      <c r="J326" s="68"/>
      <c r="M326" s="143" t="s">
        <v>1848</v>
      </c>
      <c r="N326" s="144" t="s">
        <v>6</v>
      </c>
      <c r="O326" s="6" t="s">
        <v>9</v>
      </c>
      <c r="P326" s="5" t="s">
        <v>575</v>
      </c>
      <c r="Q326" s="5" t="s">
        <v>0</v>
      </c>
      <c r="R326" s="7" t="s">
        <v>830</v>
      </c>
    </row>
    <row r="327" spans="1:18" ht="15.75" hidden="1" customHeight="1">
      <c r="A327" s="196" t="str">
        <f>HYPERLINK("http://sipi.sic.gov.co/sipi/View.ashx?4231839","SD2022/0063225")</f>
        <v>SD2022/0063225</v>
      </c>
      <c r="B327" s="8" t="s">
        <v>832</v>
      </c>
      <c r="C327" s="57" t="s">
        <v>7</v>
      </c>
      <c r="D327" s="104" t="s">
        <v>8</v>
      </c>
      <c r="E327" s="67"/>
      <c r="F327" s="68"/>
      <c r="G327" s="66" t="s">
        <v>6</v>
      </c>
      <c r="H327" s="66"/>
      <c r="I327" s="122"/>
      <c r="J327" s="68"/>
      <c r="K327" s="66" t="s">
        <v>6</v>
      </c>
      <c r="L327" s="66"/>
      <c r="M327" s="143" t="s">
        <v>1849</v>
      </c>
      <c r="N327" s="144" t="s">
        <v>6</v>
      </c>
      <c r="O327" s="6" t="s">
        <v>19</v>
      </c>
      <c r="P327" s="5" t="s">
        <v>833</v>
      </c>
      <c r="Q327" s="5" t="s">
        <v>0</v>
      </c>
      <c r="R327" s="7" t="s">
        <v>11</v>
      </c>
    </row>
    <row r="328" spans="1:18" ht="15.75" hidden="1" customHeight="1">
      <c r="A328" s="196" t="str">
        <f>HYPERLINK("http://sipi.sic.gov.co/sipi/View.ashx?4231987","SD2022/0064820")</f>
        <v>SD2022/0064820</v>
      </c>
      <c r="B328" s="8" t="s">
        <v>834</v>
      </c>
      <c r="C328" s="57" t="s">
        <v>7</v>
      </c>
      <c r="D328" s="104" t="s">
        <v>8</v>
      </c>
      <c r="E328" s="67"/>
      <c r="F328" s="68"/>
      <c r="G328" s="66" t="s">
        <v>6</v>
      </c>
      <c r="H328" s="66"/>
      <c r="I328" s="122"/>
      <c r="J328" s="68"/>
      <c r="K328" s="66" t="s">
        <v>6</v>
      </c>
      <c r="L328" s="66"/>
      <c r="M328" s="143" t="s">
        <v>1848</v>
      </c>
      <c r="N328" s="144" t="s">
        <v>6</v>
      </c>
      <c r="O328" s="6" t="s">
        <v>19</v>
      </c>
      <c r="P328" s="5" t="s">
        <v>835</v>
      </c>
      <c r="Q328" s="5" t="s">
        <v>0</v>
      </c>
      <c r="R328" s="7" t="s">
        <v>836</v>
      </c>
    </row>
    <row r="329" spans="1:18" ht="15.75" hidden="1" customHeight="1">
      <c r="A329" s="196" t="str">
        <f>HYPERLINK("http://sipi.sic.gov.co/sipi/View.ashx?4232102","SD2022/0063274")</f>
        <v>SD2022/0063274</v>
      </c>
      <c r="B329" s="8" t="s">
        <v>837</v>
      </c>
      <c r="C329" s="57" t="s">
        <v>13</v>
      </c>
      <c r="D329" s="104" t="s">
        <v>8</v>
      </c>
      <c r="E329" s="67"/>
      <c r="F329" s="68"/>
      <c r="G329" s="66" t="s">
        <v>6</v>
      </c>
      <c r="H329" s="66"/>
      <c r="I329" s="122"/>
      <c r="J329" s="68"/>
      <c r="K329" s="66" t="s">
        <v>6</v>
      </c>
      <c r="L329" s="66"/>
      <c r="M329" s="143" t="s">
        <v>1848</v>
      </c>
      <c r="N329" s="144" t="s">
        <v>6</v>
      </c>
      <c r="O329" s="6" t="s">
        <v>9</v>
      </c>
      <c r="P329" s="5" t="s">
        <v>838</v>
      </c>
      <c r="Q329" s="5" t="s">
        <v>0</v>
      </c>
      <c r="R329" s="7" t="s">
        <v>839</v>
      </c>
    </row>
    <row r="330" spans="1:18" ht="15.75" hidden="1" customHeight="1">
      <c r="A330" s="196" t="str">
        <f>HYPERLINK("http://sipi.sic.gov.co/sipi/View.ashx?4232760","SD2022/0063488")</f>
        <v>SD2022/0063488</v>
      </c>
      <c r="B330" s="8" t="s">
        <v>840</v>
      </c>
      <c r="C330" s="57" t="s">
        <v>7</v>
      </c>
      <c r="D330" s="104" t="s">
        <v>8</v>
      </c>
      <c r="E330" s="67"/>
      <c r="F330" s="68"/>
      <c r="G330" s="66" t="s">
        <v>6</v>
      </c>
      <c r="H330" s="66"/>
      <c r="I330" s="122"/>
      <c r="J330" s="68"/>
      <c r="K330" s="66" t="s">
        <v>6</v>
      </c>
      <c r="L330" s="66"/>
      <c r="M330" s="143" t="s">
        <v>1848</v>
      </c>
      <c r="N330" s="144" t="s">
        <v>6</v>
      </c>
      <c r="O330" s="6" t="s">
        <v>19</v>
      </c>
      <c r="P330" s="5" t="s">
        <v>841</v>
      </c>
      <c r="Q330" s="5" t="s">
        <v>0</v>
      </c>
      <c r="R330" s="7" t="s">
        <v>842</v>
      </c>
    </row>
    <row r="331" spans="1:18" ht="15.75" hidden="1" customHeight="1">
      <c r="A331" s="196" t="str">
        <f>HYPERLINK("http://sipi.sic.gov.co/sipi/View.ashx?4232891","SD2022/0063524")</f>
        <v>SD2022/0063524</v>
      </c>
      <c r="B331" s="8" t="s">
        <v>843</v>
      </c>
      <c r="C331" s="57" t="s">
        <v>7</v>
      </c>
      <c r="D331" s="104" t="s">
        <v>8</v>
      </c>
      <c r="E331" s="67"/>
      <c r="F331" s="68"/>
      <c r="G331" s="66" t="s">
        <v>6</v>
      </c>
      <c r="H331" s="66"/>
      <c r="I331" s="122"/>
      <c r="J331" s="68"/>
      <c r="K331" s="66" t="s">
        <v>6</v>
      </c>
      <c r="L331" s="66"/>
      <c r="M331" s="143" t="s">
        <v>1848</v>
      </c>
      <c r="N331" s="144" t="s">
        <v>6</v>
      </c>
      <c r="O331" s="6" t="s">
        <v>19</v>
      </c>
      <c r="P331" s="5" t="s">
        <v>844</v>
      </c>
      <c r="Q331" s="5" t="s">
        <v>0</v>
      </c>
      <c r="R331" s="7" t="s">
        <v>845</v>
      </c>
    </row>
    <row r="332" spans="1:18" ht="15.75" hidden="1" customHeight="1">
      <c r="A332" s="196" t="str">
        <f>HYPERLINK("http://sipi.sic.gov.co/sipi/View.ashx?4233129","SD2022/0063598")</f>
        <v>SD2022/0063598</v>
      </c>
      <c r="B332" s="8" t="s">
        <v>846</v>
      </c>
      <c r="C332" s="57" t="s">
        <v>7</v>
      </c>
      <c r="D332" s="104" t="s">
        <v>8</v>
      </c>
      <c r="E332" s="67"/>
      <c r="F332" s="68"/>
      <c r="G332" s="66" t="s">
        <v>6</v>
      </c>
      <c r="H332" s="66"/>
      <c r="I332" s="122"/>
      <c r="J332" s="68"/>
      <c r="K332" s="66" t="s">
        <v>6</v>
      </c>
      <c r="L332" s="66"/>
      <c r="M332" s="143" t="s">
        <v>1848</v>
      </c>
      <c r="N332" s="144" t="s">
        <v>6</v>
      </c>
      <c r="O332" s="6" t="s">
        <v>19</v>
      </c>
      <c r="P332" s="5" t="s">
        <v>841</v>
      </c>
      <c r="Q332" s="5" t="s">
        <v>0</v>
      </c>
      <c r="R332" s="7" t="s">
        <v>842</v>
      </c>
    </row>
    <row r="333" spans="1:18" ht="15.75" hidden="1" customHeight="1">
      <c r="A333" s="196" t="str">
        <f>HYPERLINK("http://sipi.sic.gov.co/sipi/View.ashx?4233256","SD2022/0063632")</f>
        <v>SD2022/0063632</v>
      </c>
      <c r="B333" s="8" t="s">
        <v>847</v>
      </c>
      <c r="C333" s="57" t="s">
        <v>13</v>
      </c>
      <c r="D333" s="104" t="s">
        <v>8</v>
      </c>
      <c r="E333" s="67"/>
      <c r="F333" s="68"/>
      <c r="G333" s="66" t="s">
        <v>6</v>
      </c>
      <c r="H333" s="66"/>
      <c r="I333" s="122"/>
      <c r="J333" s="68"/>
      <c r="K333" s="66" t="s">
        <v>6</v>
      </c>
      <c r="L333" s="66"/>
      <c r="M333" s="143" t="s">
        <v>1848</v>
      </c>
      <c r="N333" s="144" t="s">
        <v>6</v>
      </c>
      <c r="O333" s="6" t="s">
        <v>9</v>
      </c>
      <c r="P333" s="5" t="s">
        <v>848</v>
      </c>
      <c r="Q333" s="5" t="s">
        <v>23</v>
      </c>
      <c r="R333" s="7" t="s">
        <v>292</v>
      </c>
    </row>
    <row r="334" spans="1:18" ht="62.4" hidden="1">
      <c r="A334" s="196" t="str">
        <f>HYPERLINK("http://sipi.sic.gov.co/sipi/View.ashx?4233541","SD2022/0063718")</f>
        <v>SD2022/0063718</v>
      </c>
      <c r="B334" s="8" t="s">
        <v>849</v>
      </c>
      <c r="C334" s="57" t="s">
        <v>7</v>
      </c>
      <c r="D334" s="104" t="s">
        <v>17</v>
      </c>
      <c r="E334" s="71" t="s">
        <v>850</v>
      </c>
      <c r="F334" s="68" t="s">
        <v>1761</v>
      </c>
      <c r="G334" s="66" t="s">
        <v>1848</v>
      </c>
      <c r="H334" s="66" t="s">
        <v>19</v>
      </c>
      <c r="I334" s="122"/>
      <c r="J334" s="68"/>
      <c r="K334" s="66" t="s">
        <v>6</v>
      </c>
      <c r="L334" s="66"/>
      <c r="M334" s="143" t="s">
        <v>1848</v>
      </c>
      <c r="N334" s="144" t="s">
        <v>6</v>
      </c>
      <c r="O334" s="6" t="s">
        <v>19</v>
      </c>
      <c r="P334" s="5" t="s">
        <v>826</v>
      </c>
      <c r="Q334" s="5" t="s">
        <v>0</v>
      </c>
      <c r="R334" s="7" t="s">
        <v>827</v>
      </c>
    </row>
    <row r="335" spans="1:18" ht="43.2" hidden="1">
      <c r="A335" s="206" t="str">
        <f>HYPERLINK("http://sipi.sic.gov.co/sipi/View.ashx?4234217","SD2022/0063880")</f>
        <v>SD2022/0063880</v>
      </c>
      <c r="B335" s="183" t="s">
        <v>851</v>
      </c>
      <c r="C335" s="184" t="s">
        <v>7</v>
      </c>
      <c r="D335" s="185" t="s">
        <v>17</v>
      </c>
      <c r="E335" s="186" t="s">
        <v>852</v>
      </c>
      <c r="F335" s="187" t="s">
        <v>1762</v>
      </c>
      <c r="G335" s="66" t="s">
        <v>1848</v>
      </c>
      <c r="H335" s="78" t="s">
        <v>19</v>
      </c>
      <c r="I335" s="122"/>
      <c r="J335" s="68"/>
      <c r="K335" s="66"/>
      <c r="L335" s="66"/>
      <c r="M335" s="143" t="s">
        <v>6</v>
      </c>
      <c r="N335" s="144" t="s">
        <v>6</v>
      </c>
      <c r="O335" s="6"/>
      <c r="P335" s="5"/>
      <c r="Q335" s="5"/>
      <c r="R335" s="7"/>
    </row>
    <row r="336" spans="1:18" ht="54.75" hidden="1" customHeight="1">
      <c r="A336" s="207"/>
      <c r="B336" s="183" t="s">
        <v>851</v>
      </c>
      <c r="C336" s="184" t="s">
        <v>7</v>
      </c>
      <c r="D336" s="185" t="s">
        <v>17</v>
      </c>
      <c r="E336" s="186" t="s">
        <v>852</v>
      </c>
      <c r="F336" s="187" t="s">
        <v>1762</v>
      </c>
      <c r="G336" s="66" t="s">
        <v>1848</v>
      </c>
      <c r="H336" s="78" t="s">
        <v>9</v>
      </c>
      <c r="I336" s="128"/>
      <c r="J336" s="80"/>
      <c r="M336" s="146" t="s">
        <v>1848</v>
      </c>
      <c r="N336" s="144" t="s">
        <v>6</v>
      </c>
      <c r="O336" s="16" t="s">
        <v>19</v>
      </c>
      <c r="P336" s="15" t="s">
        <v>826</v>
      </c>
      <c r="Q336" s="15" t="s">
        <v>0</v>
      </c>
      <c r="R336" s="17" t="s">
        <v>827</v>
      </c>
    </row>
    <row r="337" spans="1:18" ht="15.75" hidden="1" customHeight="1">
      <c r="A337" s="196" t="str">
        <f>HYPERLINK("http://sipi.sic.gov.co/sipi/View.ashx?4234384","SD2022/0063919")</f>
        <v>SD2022/0063919</v>
      </c>
      <c r="B337" s="8" t="s">
        <v>853</v>
      </c>
      <c r="C337" s="57" t="s">
        <v>7</v>
      </c>
      <c r="D337" s="104" t="s">
        <v>8</v>
      </c>
      <c r="E337" s="67"/>
      <c r="F337" s="68"/>
      <c r="G337" s="66" t="s">
        <v>6</v>
      </c>
      <c r="H337" s="66"/>
      <c r="I337" s="122"/>
      <c r="J337" s="68"/>
      <c r="K337" s="66" t="s">
        <v>6</v>
      </c>
      <c r="L337" s="66"/>
      <c r="M337" s="143" t="s">
        <v>1848</v>
      </c>
      <c r="N337" s="144" t="s">
        <v>6</v>
      </c>
      <c r="O337" s="6" t="s">
        <v>19</v>
      </c>
      <c r="P337" s="5" t="s">
        <v>826</v>
      </c>
      <c r="Q337" s="5" t="s">
        <v>0</v>
      </c>
      <c r="R337" s="7" t="s">
        <v>827</v>
      </c>
    </row>
    <row r="338" spans="1:18" ht="63.6" hidden="1" customHeight="1">
      <c r="A338" s="196" t="str">
        <f>HYPERLINK("http://sipi.sic.gov.co/sipi/View.ashx?4234416","SD2022/0063926")</f>
        <v>SD2022/0063926</v>
      </c>
      <c r="B338" s="8" t="s">
        <v>854</v>
      </c>
      <c r="C338" s="57" t="s">
        <v>13</v>
      </c>
      <c r="D338" s="104" t="s">
        <v>8</v>
      </c>
      <c r="E338" s="67"/>
      <c r="F338" s="68"/>
      <c r="G338" s="66" t="s">
        <v>6</v>
      </c>
      <c r="H338" s="66"/>
      <c r="I338" s="122"/>
      <c r="J338" s="68"/>
      <c r="K338" s="66" t="s">
        <v>6</v>
      </c>
      <c r="L338" s="66"/>
      <c r="M338" s="143" t="s">
        <v>1848</v>
      </c>
      <c r="N338" s="144" t="s">
        <v>6</v>
      </c>
      <c r="O338" s="6" t="s">
        <v>19</v>
      </c>
      <c r="P338" s="5" t="s">
        <v>855</v>
      </c>
      <c r="Q338" s="5" t="s">
        <v>0</v>
      </c>
      <c r="R338" s="7" t="s">
        <v>11</v>
      </c>
    </row>
    <row r="339" spans="1:18" ht="25.2" hidden="1" customHeight="1">
      <c r="A339" s="197" t="str">
        <f>HYPERLINK("http://sipi.sic.gov.co/sipi/View.ashx?4234632","SD2022/0063977")</f>
        <v>SD2022/0063977</v>
      </c>
      <c r="B339" s="156" t="s">
        <v>856</v>
      </c>
      <c r="C339" s="159" t="s">
        <v>13</v>
      </c>
      <c r="D339" s="160" t="s">
        <v>17</v>
      </c>
      <c r="E339" s="219" t="s">
        <v>1445</v>
      </c>
      <c r="F339" s="161" t="s">
        <v>1748</v>
      </c>
      <c r="G339" s="66" t="s">
        <v>1848</v>
      </c>
      <c r="H339" s="66" t="s">
        <v>19</v>
      </c>
      <c r="I339" s="122"/>
      <c r="J339" s="68"/>
      <c r="K339" s="66"/>
      <c r="L339" s="66"/>
      <c r="M339" s="143" t="s">
        <v>6</v>
      </c>
      <c r="N339" s="144" t="s">
        <v>6</v>
      </c>
      <c r="O339" s="6"/>
      <c r="P339" s="5"/>
      <c r="Q339" s="5"/>
      <c r="R339" s="7"/>
    </row>
    <row r="340" spans="1:18" ht="15.75" hidden="1" customHeight="1">
      <c r="A340" s="198"/>
      <c r="B340" s="156" t="s">
        <v>856</v>
      </c>
      <c r="C340" s="159" t="s">
        <v>13</v>
      </c>
      <c r="D340" s="160" t="s">
        <v>17</v>
      </c>
      <c r="E340" s="219" t="s">
        <v>1445</v>
      </c>
      <c r="F340" s="161" t="s">
        <v>1748</v>
      </c>
      <c r="G340" s="66" t="s">
        <v>1849</v>
      </c>
      <c r="H340" s="66" t="s">
        <v>19</v>
      </c>
      <c r="I340" s="130"/>
      <c r="J340" s="68"/>
      <c r="M340" s="143" t="s">
        <v>1848</v>
      </c>
      <c r="N340" s="144" t="s">
        <v>6</v>
      </c>
      <c r="O340" s="6" t="s">
        <v>19</v>
      </c>
      <c r="P340" s="5" t="s">
        <v>857</v>
      </c>
      <c r="Q340" s="5" t="s">
        <v>0</v>
      </c>
      <c r="R340" s="7" t="s">
        <v>858</v>
      </c>
    </row>
    <row r="341" spans="1:18" ht="15.75" hidden="1" customHeight="1">
      <c r="A341" s="196" t="str">
        <f>HYPERLINK("http://sipi.sic.gov.co/sipi/View.ashx?4235498","SD2022/0064222")</f>
        <v>SD2022/0064222</v>
      </c>
      <c r="B341" s="8" t="s">
        <v>859</v>
      </c>
      <c r="C341" s="57" t="s">
        <v>7</v>
      </c>
      <c r="D341" s="104" t="s">
        <v>8</v>
      </c>
      <c r="E341" s="67"/>
      <c r="F341" s="68"/>
      <c r="G341" s="66" t="s">
        <v>6</v>
      </c>
      <c r="H341" s="66"/>
      <c r="I341" s="122"/>
      <c r="J341" s="68"/>
      <c r="K341" s="66" t="s">
        <v>6</v>
      </c>
      <c r="L341" s="66"/>
      <c r="M341" s="143" t="s">
        <v>1848</v>
      </c>
      <c r="N341" s="144" t="s">
        <v>6</v>
      </c>
      <c r="O341" s="6" t="s">
        <v>19</v>
      </c>
      <c r="P341" s="5" t="s">
        <v>826</v>
      </c>
      <c r="Q341" s="5" t="s">
        <v>0</v>
      </c>
      <c r="R341" s="7" t="s">
        <v>827</v>
      </c>
    </row>
    <row r="342" spans="1:18" ht="15.75" hidden="1" customHeight="1">
      <c r="A342" s="196" t="str">
        <f>HYPERLINK("http://sipi.sic.gov.co/sipi/View.ashx?4235525","SD2022/0064231")</f>
        <v>SD2022/0064231</v>
      </c>
      <c r="B342" s="8" t="s">
        <v>860</v>
      </c>
      <c r="C342" s="57" t="s">
        <v>7</v>
      </c>
      <c r="D342" s="104" t="s">
        <v>8</v>
      </c>
      <c r="E342" s="67"/>
      <c r="F342" s="68"/>
      <c r="G342" s="66" t="s">
        <v>6</v>
      </c>
      <c r="H342" s="66"/>
      <c r="I342" s="122"/>
      <c r="J342" s="68"/>
      <c r="K342" s="66" t="s">
        <v>6</v>
      </c>
      <c r="L342" s="66"/>
      <c r="M342" s="143" t="s">
        <v>1848</v>
      </c>
      <c r="N342" s="144" t="s">
        <v>6</v>
      </c>
      <c r="O342" s="6" t="s">
        <v>19</v>
      </c>
      <c r="P342" s="5" t="s">
        <v>826</v>
      </c>
      <c r="Q342" s="5" t="s">
        <v>0</v>
      </c>
      <c r="R342" s="7" t="s">
        <v>827</v>
      </c>
    </row>
    <row r="343" spans="1:18" ht="15.75" hidden="1" customHeight="1">
      <c r="A343" s="196" t="str">
        <f>HYPERLINK("http://sipi.sic.gov.co/sipi/View.ashx?4235533","SD2022/0064233")</f>
        <v>SD2022/0064233</v>
      </c>
      <c r="B343" s="8" t="s">
        <v>861</v>
      </c>
      <c r="C343" s="57" t="s">
        <v>7</v>
      </c>
      <c r="D343" s="104" t="s">
        <v>8</v>
      </c>
      <c r="E343" s="67"/>
      <c r="F343" s="68"/>
      <c r="G343" s="66" t="s">
        <v>6</v>
      </c>
      <c r="H343" s="66"/>
      <c r="I343" s="122"/>
      <c r="J343" s="68"/>
      <c r="K343" s="66" t="s">
        <v>6</v>
      </c>
      <c r="L343" s="66"/>
      <c r="M343" s="143" t="s">
        <v>1848</v>
      </c>
      <c r="N343" s="144" t="s">
        <v>6</v>
      </c>
      <c r="O343" s="6" t="s">
        <v>19</v>
      </c>
      <c r="P343" s="5" t="s">
        <v>826</v>
      </c>
      <c r="Q343" s="5" t="s">
        <v>0</v>
      </c>
      <c r="R343" s="7" t="s">
        <v>827</v>
      </c>
    </row>
    <row r="344" spans="1:18" ht="15.75" hidden="1" customHeight="1">
      <c r="A344" s="196" t="str">
        <f>HYPERLINK("http://sipi.sic.gov.co/sipi/View.ashx?4236277","SD2022/0064315")</f>
        <v>SD2022/0064315</v>
      </c>
      <c r="B344" s="8" t="s">
        <v>862</v>
      </c>
      <c r="C344" s="57" t="s">
        <v>13</v>
      </c>
      <c r="D344" s="104" t="s">
        <v>17</v>
      </c>
      <c r="E344" s="71" t="s">
        <v>863</v>
      </c>
      <c r="F344" s="68" t="s">
        <v>1763</v>
      </c>
      <c r="G344" s="66" t="s">
        <v>1848</v>
      </c>
      <c r="H344" s="66" t="s">
        <v>9</v>
      </c>
      <c r="I344" s="122"/>
      <c r="J344" s="68"/>
      <c r="K344" s="66" t="s">
        <v>6</v>
      </c>
      <c r="L344" s="66"/>
      <c r="M344" s="143" t="s">
        <v>1848</v>
      </c>
      <c r="N344" s="144" t="s">
        <v>6</v>
      </c>
      <c r="O344" s="6" t="s">
        <v>9</v>
      </c>
      <c r="P344" s="5" t="s">
        <v>864</v>
      </c>
      <c r="Q344" s="5" t="s">
        <v>0</v>
      </c>
      <c r="R344" s="7" t="s">
        <v>865</v>
      </c>
    </row>
    <row r="345" spans="1:18" ht="15.75" hidden="1" customHeight="1">
      <c r="A345" s="196" t="str">
        <f>HYPERLINK("http://sipi.sic.gov.co/sipi/View.ashx?4236797","SD2022/0064450")</f>
        <v>SD2022/0064450</v>
      </c>
      <c r="B345" s="8" t="s">
        <v>866</v>
      </c>
      <c r="C345" s="57" t="s">
        <v>7</v>
      </c>
      <c r="D345" s="104" t="s">
        <v>8</v>
      </c>
      <c r="E345" s="67"/>
      <c r="F345" s="68"/>
      <c r="G345" s="66" t="s">
        <v>6</v>
      </c>
      <c r="H345" s="66"/>
      <c r="I345" s="122"/>
      <c r="J345" s="68"/>
      <c r="K345" s="66" t="s">
        <v>6</v>
      </c>
      <c r="L345" s="66"/>
      <c r="M345" s="143" t="s">
        <v>1849</v>
      </c>
      <c r="N345" s="144" t="s">
        <v>6</v>
      </c>
      <c r="O345" s="6" t="s">
        <v>9</v>
      </c>
      <c r="P345" s="5" t="s">
        <v>867</v>
      </c>
      <c r="Q345" s="5" t="s">
        <v>0</v>
      </c>
      <c r="R345" s="7" t="s">
        <v>11</v>
      </c>
    </row>
    <row r="346" spans="1:18" ht="15.75" hidden="1" customHeight="1">
      <c r="A346" s="196" t="str">
        <f>HYPERLINK("http://sipi.sic.gov.co/sipi/View.ashx?4242369","SD2022/0066149")</f>
        <v>SD2022/0066149</v>
      </c>
      <c r="B346" s="8" t="s">
        <v>868</v>
      </c>
      <c r="C346" s="57" t="s">
        <v>7</v>
      </c>
      <c r="D346" s="104" t="s">
        <v>8</v>
      </c>
      <c r="E346" s="67"/>
      <c r="F346" s="68"/>
      <c r="G346" s="66" t="s">
        <v>6</v>
      </c>
      <c r="H346" s="66"/>
      <c r="I346" s="122"/>
      <c r="J346" s="68"/>
      <c r="K346" s="66" t="s">
        <v>6</v>
      </c>
      <c r="L346" s="66"/>
      <c r="M346" s="143" t="s">
        <v>1848</v>
      </c>
      <c r="N346" s="144" t="s">
        <v>6</v>
      </c>
      <c r="O346" s="6" t="s">
        <v>9</v>
      </c>
      <c r="P346" s="5" t="s">
        <v>869</v>
      </c>
      <c r="Q346" s="5" t="s">
        <v>0</v>
      </c>
      <c r="R346" s="7" t="s">
        <v>870</v>
      </c>
    </row>
    <row r="347" spans="1:18" ht="15.75" hidden="1" customHeight="1">
      <c r="A347" s="196" t="str">
        <f>HYPERLINK("http://sipi.sic.gov.co/sipi/View.ashx?4242634","SD2022/0066236")</f>
        <v>SD2022/0066236</v>
      </c>
      <c r="B347" s="8" t="s">
        <v>871</v>
      </c>
      <c r="C347" s="57" t="s">
        <v>7</v>
      </c>
      <c r="D347" s="104" t="s">
        <v>8</v>
      </c>
      <c r="E347" s="67"/>
      <c r="F347" s="68"/>
      <c r="G347" s="66" t="s">
        <v>6</v>
      </c>
      <c r="H347" s="66"/>
      <c r="I347" s="122"/>
      <c r="J347" s="68"/>
      <c r="K347" s="66" t="s">
        <v>6</v>
      </c>
      <c r="L347" s="66"/>
      <c r="M347" s="143" t="s">
        <v>1848</v>
      </c>
      <c r="N347" s="144" t="s">
        <v>6</v>
      </c>
      <c r="O347" s="6" t="s">
        <v>19</v>
      </c>
      <c r="P347" s="5" t="s">
        <v>872</v>
      </c>
      <c r="Q347" s="5" t="s">
        <v>0</v>
      </c>
      <c r="R347" s="7" t="s">
        <v>232</v>
      </c>
    </row>
    <row r="348" spans="1:18" ht="15.75" hidden="1" customHeight="1">
      <c r="A348" s="196" t="str">
        <f>HYPERLINK("http://sipi.sic.gov.co/sipi/View.ashx?4244447","SD2022/0066692")</f>
        <v>SD2022/0066692</v>
      </c>
      <c r="B348" s="8" t="s">
        <v>873</v>
      </c>
      <c r="C348" s="57" t="s">
        <v>13</v>
      </c>
      <c r="D348" s="104" t="s">
        <v>8</v>
      </c>
      <c r="E348" s="67"/>
      <c r="F348" s="68"/>
      <c r="G348" s="66" t="s">
        <v>6</v>
      </c>
      <c r="H348" s="66"/>
      <c r="I348" s="122"/>
      <c r="J348" s="68"/>
      <c r="K348" s="66" t="s">
        <v>6</v>
      </c>
      <c r="L348" s="66"/>
      <c r="M348" s="143" t="s">
        <v>1848</v>
      </c>
      <c r="N348" s="144" t="s">
        <v>6</v>
      </c>
      <c r="O348" s="6" t="s">
        <v>9</v>
      </c>
      <c r="P348" s="5" t="s">
        <v>874</v>
      </c>
      <c r="Q348" s="5" t="s">
        <v>23</v>
      </c>
      <c r="R348" s="7" t="s">
        <v>875</v>
      </c>
    </row>
    <row r="349" spans="1:18" ht="115.5" hidden="1" customHeight="1">
      <c r="A349" s="196" t="str">
        <f>HYPERLINK("http://sipi.sic.gov.co/sipi/View.ashx?4244539","SD2022/0089644")</f>
        <v>SD2022/0089644</v>
      </c>
      <c r="B349" s="8" t="s">
        <v>876</v>
      </c>
      <c r="C349" s="57" t="s">
        <v>13</v>
      </c>
      <c r="D349" s="104" t="s">
        <v>8</v>
      </c>
      <c r="E349" s="67"/>
      <c r="F349" s="68"/>
      <c r="G349" s="66" t="s">
        <v>6</v>
      </c>
      <c r="H349" s="66"/>
      <c r="I349" s="122"/>
      <c r="J349" s="68"/>
      <c r="K349" s="66" t="s">
        <v>6</v>
      </c>
      <c r="L349" s="66"/>
      <c r="M349" s="143" t="s">
        <v>1848</v>
      </c>
      <c r="N349" s="144" t="s">
        <v>6</v>
      </c>
      <c r="O349" s="6" t="s">
        <v>19</v>
      </c>
      <c r="P349" s="5" t="s">
        <v>877</v>
      </c>
      <c r="Q349" s="5" t="s">
        <v>0</v>
      </c>
      <c r="R349" s="7" t="s">
        <v>878</v>
      </c>
    </row>
    <row r="350" spans="1:18" ht="46.5" hidden="1" customHeight="1">
      <c r="A350" s="196" t="str">
        <f>HYPERLINK("http://sipi.sic.gov.co/sipi/View.ashx?4244707","SD2022/0070089")</f>
        <v>SD2022/0070089</v>
      </c>
      <c r="B350" s="8" t="s">
        <v>879</v>
      </c>
      <c r="C350" s="57" t="s">
        <v>13</v>
      </c>
      <c r="D350" s="105" t="s">
        <v>8</v>
      </c>
      <c r="E350" s="71"/>
      <c r="F350" s="68"/>
      <c r="G350" s="66"/>
      <c r="H350" s="66"/>
      <c r="I350" s="130"/>
      <c r="J350" s="68"/>
      <c r="K350" s="66" t="s">
        <v>6</v>
      </c>
      <c r="L350" s="66"/>
      <c r="M350" s="143" t="s">
        <v>1849</v>
      </c>
      <c r="N350" s="144" t="s">
        <v>6</v>
      </c>
      <c r="O350" s="6" t="s">
        <v>19</v>
      </c>
      <c r="P350" s="5" t="s">
        <v>880</v>
      </c>
      <c r="Q350" s="5" t="s">
        <v>63</v>
      </c>
      <c r="R350" s="7" t="s">
        <v>881</v>
      </c>
    </row>
    <row r="351" spans="1:18" ht="15.75" hidden="1" customHeight="1">
      <c r="A351" s="196" t="str">
        <f>HYPERLINK("http://sipi.sic.gov.co/sipi/View.ashx?4248842","SD2022/0067655")</f>
        <v>SD2022/0067655</v>
      </c>
      <c r="B351" s="8" t="s">
        <v>882</v>
      </c>
      <c r="C351" s="57" t="s">
        <v>7</v>
      </c>
      <c r="D351" s="104" t="s">
        <v>8</v>
      </c>
      <c r="E351" s="67"/>
      <c r="F351" s="68"/>
      <c r="G351" s="66" t="s">
        <v>6</v>
      </c>
      <c r="H351" s="66"/>
      <c r="I351" s="122"/>
      <c r="J351" s="68"/>
      <c r="K351" s="66" t="s">
        <v>6</v>
      </c>
      <c r="L351" s="66"/>
      <c r="M351" s="143" t="s">
        <v>1848</v>
      </c>
      <c r="N351" s="144" t="s">
        <v>6</v>
      </c>
      <c r="O351" s="6" t="s">
        <v>9</v>
      </c>
      <c r="P351" s="5" t="s">
        <v>883</v>
      </c>
      <c r="Q351" s="5" t="s">
        <v>0</v>
      </c>
      <c r="R351" s="7" t="s">
        <v>884</v>
      </c>
    </row>
    <row r="352" spans="1:18" ht="15.75" hidden="1" customHeight="1">
      <c r="A352" s="196" t="str">
        <f>HYPERLINK("http://sipi.sic.gov.co/sipi/View.ashx?4249770","SD2022/0067911")</f>
        <v>SD2022/0067911</v>
      </c>
      <c r="B352" s="8" t="s">
        <v>885</v>
      </c>
      <c r="C352" s="57" t="s">
        <v>13</v>
      </c>
      <c r="D352" s="104" t="s">
        <v>8</v>
      </c>
      <c r="E352" s="67"/>
      <c r="F352" s="68"/>
      <c r="G352" s="66" t="s">
        <v>6</v>
      </c>
      <c r="H352" s="66"/>
      <c r="I352" s="122"/>
      <c r="J352" s="68"/>
      <c r="K352" s="66" t="s">
        <v>6</v>
      </c>
      <c r="L352" s="66"/>
      <c r="M352" s="143" t="s">
        <v>1848</v>
      </c>
      <c r="N352" s="144" t="s">
        <v>6</v>
      </c>
      <c r="O352" s="6" t="s">
        <v>9</v>
      </c>
      <c r="P352" s="5" t="s">
        <v>886</v>
      </c>
      <c r="Q352" s="5" t="s">
        <v>0</v>
      </c>
      <c r="R352" s="7" t="s">
        <v>887</v>
      </c>
    </row>
    <row r="353" spans="1:18" ht="15.75" hidden="1" customHeight="1">
      <c r="A353" s="196" t="str">
        <f>HYPERLINK("http://sipi.sic.gov.co/sipi/View.ashx?4250555","SD2022/0068364")</f>
        <v>SD2022/0068364</v>
      </c>
      <c r="B353" s="8" t="s">
        <v>888</v>
      </c>
      <c r="C353" s="57" t="s">
        <v>7</v>
      </c>
      <c r="D353" s="104" t="s">
        <v>8</v>
      </c>
      <c r="E353" s="67"/>
      <c r="F353" s="68"/>
      <c r="G353" s="66" t="s">
        <v>6</v>
      </c>
      <c r="H353" s="66"/>
      <c r="I353" s="122"/>
      <c r="J353" s="68"/>
      <c r="K353" s="66" t="s">
        <v>6</v>
      </c>
      <c r="L353" s="66"/>
      <c r="M353" s="143" t="s">
        <v>1848</v>
      </c>
      <c r="N353" s="144" t="s">
        <v>6</v>
      </c>
      <c r="O353" s="6" t="s">
        <v>9</v>
      </c>
      <c r="P353" s="5" t="s">
        <v>844</v>
      </c>
      <c r="Q353" s="5" t="s">
        <v>0</v>
      </c>
      <c r="R353" s="7" t="s">
        <v>889</v>
      </c>
    </row>
    <row r="354" spans="1:18" ht="156" hidden="1" customHeight="1">
      <c r="A354" s="196" t="str">
        <f>HYPERLINK("http://sipi.sic.gov.co/sipi/View.ashx?4251082","SD2022/0068314")</f>
        <v>SD2022/0068314</v>
      </c>
      <c r="B354" s="8" t="s">
        <v>890</v>
      </c>
      <c r="C354" s="57" t="s">
        <v>13</v>
      </c>
      <c r="D354" s="104" t="s">
        <v>17</v>
      </c>
      <c r="E354" s="71" t="s">
        <v>891</v>
      </c>
      <c r="F354" s="68" t="s">
        <v>1842</v>
      </c>
      <c r="G354" s="66" t="s">
        <v>1848</v>
      </c>
      <c r="H354" s="66" t="s">
        <v>9</v>
      </c>
      <c r="I354" s="122"/>
      <c r="J354" s="68"/>
      <c r="K354" s="66" t="s">
        <v>6</v>
      </c>
      <c r="L354" s="66"/>
      <c r="M354" s="143" t="s">
        <v>1848</v>
      </c>
      <c r="N354" s="144" t="s">
        <v>6</v>
      </c>
      <c r="O354" s="6" t="s">
        <v>19</v>
      </c>
      <c r="P354" s="5" t="s">
        <v>892</v>
      </c>
      <c r="Q354" s="5" t="s">
        <v>0</v>
      </c>
      <c r="R354" s="7" t="s">
        <v>893</v>
      </c>
    </row>
    <row r="355" spans="1:18" ht="89.4" hidden="1" customHeight="1">
      <c r="A355" s="196" t="str">
        <f>HYPERLINK("http://sipi.sic.gov.co/sipi/View.ashx?4252527","SD2022/0068776")</f>
        <v>SD2022/0068776</v>
      </c>
      <c r="B355" s="8" t="s">
        <v>894</v>
      </c>
      <c r="C355" s="57" t="s">
        <v>13</v>
      </c>
      <c r="D355" s="104" t="s">
        <v>8</v>
      </c>
      <c r="E355" s="67"/>
      <c r="F355" s="68"/>
      <c r="G355" s="66" t="s">
        <v>6</v>
      </c>
      <c r="H355" s="66"/>
      <c r="I355" s="122"/>
      <c r="J355" s="68"/>
      <c r="K355" s="66" t="s">
        <v>6</v>
      </c>
      <c r="L355" s="66"/>
      <c r="M355" s="143" t="s">
        <v>1848</v>
      </c>
      <c r="N355" s="144" t="s">
        <v>6</v>
      </c>
      <c r="O355" s="6" t="s">
        <v>19</v>
      </c>
      <c r="P355" s="5" t="s">
        <v>895</v>
      </c>
      <c r="Q355" s="5" t="s">
        <v>0</v>
      </c>
      <c r="R355" s="7" t="s">
        <v>896</v>
      </c>
    </row>
    <row r="356" spans="1:18" ht="69.599999999999994" hidden="1" customHeight="1">
      <c r="A356" s="196" t="str">
        <f>HYPERLINK("http://sipi.sic.gov.co/sipi/View.ashx?4253145","SD2022/0068886")</f>
        <v>SD2022/0068886</v>
      </c>
      <c r="B356" s="8" t="s">
        <v>897</v>
      </c>
      <c r="C356" s="57" t="s">
        <v>13</v>
      </c>
      <c r="D356" s="104" t="s">
        <v>8</v>
      </c>
      <c r="E356" s="67"/>
      <c r="F356" s="68"/>
      <c r="G356" s="66" t="s">
        <v>6</v>
      </c>
      <c r="H356" s="66"/>
      <c r="I356" s="122"/>
      <c r="J356" s="68"/>
      <c r="K356" s="66" t="s">
        <v>6</v>
      </c>
      <c r="L356" s="66"/>
      <c r="M356" s="143" t="s">
        <v>1848</v>
      </c>
      <c r="N356" s="144" t="s">
        <v>6</v>
      </c>
      <c r="O356" s="6" t="s">
        <v>9</v>
      </c>
      <c r="P356" s="5" t="s">
        <v>898</v>
      </c>
      <c r="Q356" s="5" t="s">
        <v>0</v>
      </c>
      <c r="R356" s="7" t="s">
        <v>899</v>
      </c>
    </row>
    <row r="357" spans="1:18" ht="66" hidden="1" customHeight="1">
      <c r="A357" s="208" t="str">
        <f>HYPERLINK("http://sipi.sic.gov.co/sipi/View.ashx?4254333","SD2022/0069707")</f>
        <v>SD2022/0069707</v>
      </c>
      <c r="B357" s="22" t="s">
        <v>900</v>
      </c>
      <c r="C357" s="57" t="s">
        <v>56</v>
      </c>
      <c r="D357" s="109" t="s">
        <v>8</v>
      </c>
      <c r="E357" s="67"/>
      <c r="F357" s="68"/>
      <c r="G357" s="66" t="s">
        <v>6</v>
      </c>
      <c r="H357" s="85"/>
      <c r="I357" s="122"/>
      <c r="J357" s="68"/>
      <c r="K357" s="66" t="s">
        <v>6</v>
      </c>
      <c r="L357" s="85"/>
      <c r="M357" s="149" t="s">
        <v>1848</v>
      </c>
      <c r="N357" s="144" t="s">
        <v>6</v>
      </c>
      <c r="O357" s="24" t="s">
        <v>9</v>
      </c>
      <c r="P357" s="23" t="s">
        <v>901</v>
      </c>
      <c r="Q357" s="23" t="s">
        <v>0</v>
      </c>
      <c r="R357" s="25" t="s">
        <v>902</v>
      </c>
    </row>
    <row r="358" spans="1:18" ht="15.75" hidden="1" customHeight="1">
      <c r="A358" s="196" t="str">
        <f>HYPERLINK("http://sipi.sic.gov.co/sipi/View.ashx?4254556","SD2022/0069292")</f>
        <v>SD2022/0069292</v>
      </c>
      <c r="B358" s="8" t="s">
        <v>903</v>
      </c>
      <c r="C358" s="57" t="s">
        <v>7</v>
      </c>
      <c r="D358" s="104" t="s">
        <v>17</v>
      </c>
      <c r="E358" s="67" t="s">
        <v>904</v>
      </c>
      <c r="F358" s="68" t="s">
        <v>1764</v>
      </c>
      <c r="G358" s="66" t="s">
        <v>1848</v>
      </c>
      <c r="H358" s="66" t="s">
        <v>9</v>
      </c>
      <c r="I358" s="122"/>
      <c r="J358" s="68"/>
      <c r="K358" s="66" t="s">
        <v>6</v>
      </c>
      <c r="L358" s="66"/>
      <c r="M358" s="143" t="s">
        <v>1848</v>
      </c>
      <c r="N358" s="144" t="s">
        <v>6</v>
      </c>
      <c r="O358" s="6" t="s">
        <v>9</v>
      </c>
      <c r="P358" s="5" t="s">
        <v>905</v>
      </c>
      <c r="Q358" s="5" t="s">
        <v>0</v>
      </c>
      <c r="R358" s="7" t="s">
        <v>906</v>
      </c>
    </row>
    <row r="359" spans="1:18" ht="15.75" hidden="1" customHeight="1">
      <c r="A359" s="196" t="str">
        <f>HYPERLINK("http://sipi.sic.gov.co/sipi/View.ashx?4254581","SD2022/0069304")</f>
        <v>SD2022/0069304</v>
      </c>
      <c r="B359" s="8" t="s">
        <v>907</v>
      </c>
      <c r="C359" s="57" t="s">
        <v>7</v>
      </c>
      <c r="D359" s="104" t="s">
        <v>17</v>
      </c>
      <c r="E359" s="122" t="s">
        <v>607</v>
      </c>
      <c r="F359" s="68" t="s">
        <v>1736</v>
      </c>
      <c r="G359" s="70" t="s">
        <v>1848</v>
      </c>
      <c r="H359" s="66" t="s">
        <v>8</v>
      </c>
      <c r="M359" s="143" t="s">
        <v>1870</v>
      </c>
      <c r="N359" s="144" t="s">
        <v>6</v>
      </c>
      <c r="O359" s="6" t="s">
        <v>9</v>
      </c>
      <c r="P359" s="5" t="s">
        <v>905</v>
      </c>
      <c r="Q359" s="5" t="s">
        <v>0</v>
      </c>
      <c r="R359" s="7" t="s">
        <v>906</v>
      </c>
    </row>
    <row r="360" spans="1:18" ht="15.75" hidden="1" customHeight="1">
      <c r="A360" s="196" t="str">
        <f>HYPERLINK("http://sipi.sic.gov.co/sipi/View.ashx?4260110","SD2022/0070590")</f>
        <v>SD2022/0070590</v>
      </c>
      <c r="B360" s="8" t="s">
        <v>908</v>
      </c>
      <c r="C360" s="57" t="s">
        <v>7</v>
      </c>
      <c r="D360" s="104" t="s">
        <v>8</v>
      </c>
      <c r="E360" s="67"/>
      <c r="F360" s="68"/>
      <c r="G360" s="66" t="s">
        <v>6</v>
      </c>
      <c r="H360" s="66"/>
      <c r="I360" s="122"/>
      <c r="J360" s="68"/>
      <c r="K360" s="66" t="s">
        <v>6</v>
      </c>
      <c r="L360" s="66"/>
      <c r="M360" s="143" t="s">
        <v>1848</v>
      </c>
      <c r="N360" s="144" t="s">
        <v>6</v>
      </c>
      <c r="O360" s="6" t="s">
        <v>9</v>
      </c>
      <c r="P360" s="5" t="s">
        <v>507</v>
      </c>
      <c r="Q360" s="5" t="s">
        <v>0</v>
      </c>
      <c r="R360" s="7" t="s">
        <v>909</v>
      </c>
    </row>
    <row r="361" spans="1:18" ht="15.75" hidden="1" customHeight="1">
      <c r="A361" s="196" t="str">
        <f>HYPERLINK("http://sipi.sic.gov.co/sipi/View.ashx?4260122","SD2022/0070593")</f>
        <v>SD2022/0070593</v>
      </c>
      <c r="B361" s="8" t="s">
        <v>910</v>
      </c>
      <c r="C361" s="57" t="s">
        <v>7</v>
      </c>
      <c r="D361" s="104" t="s">
        <v>8</v>
      </c>
      <c r="E361" s="67"/>
      <c r="F361" s="68"/>
      <c r="G361" s="66" t="s">
        <v>6</v>
      </c>
      <c r="H361" s="66"/>
      <c r="I361" s="122"/>
      <c r="J361" s="68"/>
      <c r="K361" s="66" t="s">
        <v>6</v>
      </c>
      <c r="L361" s="66"/>
      <c r="M361" s="143" t="s">
        <v>1848</v>
      </c>
      <c r="N361" s="144" t="s">
        <v>6</v>
      </c>
      <c r="O361" s="6" t="s">
        <v>9</v>
      </c>
      <c r="P361" s="5" t="s">
        <v>507</v>
      </c>
      <c r="Q361" s="5" t="s">
        <v>0</v>
      </c>
      <c r="R361" s="7" t="s">
        <v>911</v>
      </c>
    </row>
    <row r="362" spans="1:18" ht="15.75" hidden="1" customHeight="1">
      <c r="A362" s="196" t="str">
        <f>HYPERLINK("http://sipi.sic.gov.co/sipi/View.ashx?4260149","SD2022/0070599")</f>
        <v>SD2022/0070599</v>
      </c>
      <c r="B362" s="8" t="s">
        <v>912</v>
      </c>
      <c r="C362" s="57" t="s">
        <v>7</v>
      </c>
      <c r="D362" s="104" t="s">
        <v>8</v>
      </c>
      <c r="E362" s="67"/>
      <c r="F362" s="68"/>
      <c r="G362" s="66" t="s">
        <v>6</v>
      </c>
      <c r="H362" s="66"/>
      <c r="I362" s="122"/>
      <c r="J362" s="68"/>
      <c r="K362" s="66" t="s">
        <v>6</v>
      </c>
      <c r="L362" s="66"/>
      <c r="M362" s="143" t="s">
        <v>1848</v>
      </c>
      <c r="N362" s="144" t="s">
        <v>6</v>
      </c>
      <c r="O362" s="6" t="s">
        <v>9</v>
      </c>
      <c r="P362" s="5" t="s">
        <v>507</v>
      </c>
      <c r="Q362" s="5" t="s">
        <v>0</v>
      </c>
      <c r="R362" s="7" t="s">
        <v>913</v>
      </c>
    </row>
    <row r="363" spans="1:18" ht="15.75" hidden="1" customHeight="1">
      <c r="A363" s="196" t="str">
        <f>HYPERLINK("http://sipi.sic.gov.co/sipi/View.ashx?4260164","SD2022/0070602")</f>
        <v>SD2022/0070602</v>
      </c>
      <c r="B363" s="8" t="s">
        <v>914</v>
      </c>
      <c r="C363" s="57" t="s">
        <v>13</v>
      </c>
      <c r="D363" s="104" t="s">
        <v>8</v>
      </c>
      <c r="E363" s="67"/>
      <c r="F363" s="68"/>
      <c r="G363" s="66" t="s">
        <v>6</v>
      </c>
      <c r="H363" s="66"/>
      <c r="I363" s="122"/>
      <c r="J363" s="68"/>
      <c r="K363" s="66" t="s">
        <v>6</v>
      </c>
      <c r="L363" s="66"/>
      <c r="M363" s="143" t="s">
        <v>1848</v>
      </c>
      <c r="N363" s="144" t="s">
        <v>6</v>
      </c>
      <c r="O363" s="6" t="s">
        <v>9</v>
      </c>
      <c r="P363" s="5" t="s">
        <v>915</v>
      </c>
      <c r="Q363" s="5" t="s">
        <v>0</v>
      </c>
      <c r="R363" s="7" t="s">
        <v>11</v>
      </c>
    </row>
    <row r="364" spans="1:18" ht="15.75" hidden="1" customHeight="1">
      <c r="A364" s="196" t="str">
        <f>HYPERLINK("http://sipi.sic.gov.co/sipi/View.ashx?4263739","SD2022/0071491")</f>
        <v>SD2022/0071491</v>
      </c>
      <c r="B364" s="8" t="s">
        <v>916</v>
      </c>
      <c r="C364" s="57" t="s">
        <v>7</v>
      </c>
      <c r="D364" s="104" t="s">
        <v>17</v>
      </c>
      <c r="E364" s="67" t="s">
        <v>514</v>
      </c>
      <c r="F364" s="68" t="s">
        <v>1717</v>
      </c>
      <c r="G364" s="66" t="s">
        <v>1848</v>
      </c>
      <c r="H364" s="66" t="s">
        <v>9</v>
      </c>
      <c r="I364" s="122"/>
      <c r="J364" s="68"/>
      <c r="K364" s="66" t="s">
        <v>6</v>
      </c>
      <c r="L364" s="66"/>
      <c r="M364" s="143" t="s">
        <v>1848</v>
      </c>
      <c r="N364" s="144" t="s">
        <v>6</v>
      </c>
      <c r="O364" s="6" t="s">
        <v>19</v>
      </c>
      <c r="P364" s="5" t="s">
        <v>507</v>
      </c>
      <c r="Q364" s="5" t="s">
        <v>0</v>
      </c>
      <c r="R364" s="7" t="s">
        <v>917</v>
      </c>
    </row>
    <row r="365" spans="1:18" ht="15.75" hidden="1" customHeight="1">
      <c r="A365" s="196" t="str">
        <f>HYPERLINK("http://sipi.sic.gov.co/sipi/View.ashx?4264200","SD2022/0071570")</f>
        <v>SD2022/0071570</v>
      </c>
      <c r="B365" s="8" t="s">
        <v>918</v>
      </c>
      <c r="C365" s="57" t="s">
        <v>7</v>
      </c>
      <c r="D365" s="104" t="s">
        <v>8</v>
      </c>
      <c r="E365" s="67"/>
      <c r="F365" s="68"/>
      <c r="G365" s="66" t="s">
        <v>6</v>
      </c>
      <c r="H365" s="66"/>
      <c r="I365" s="122"/>
      <c r="J365" s="68"/>
      <c r="K365" s="66" t="s">
        <v>6</v>
      </c>
      <c r="L365" s="66"/>
      <c r="M365" s="143" t="s">
        <v>1848</v>
      </c>
      <c r="N365" s="144" t="s">
        <v>6</v>
      </c>
      <c r="O365" s="6" t="s">
        <v>19</v>
      </c>
      <c r="P365" s="5" t="s">
        <v>919</v>
      </c>
      <c r="Q365" s="5" t="s">
        <v>0</v>
      </c>
      <c r="R365" s="7" t="s">
        <v>920</v>
      </c>
    </row>
    <row r="366" spans="1:18" ht="15.75" hidden="1" customHeight="1">
      <c r="A366" s="196" t="str">
        <f>HYPERLINK("http://sipi.sic.gov.co/sipi/View.ashx?4264235","SD2022/0071574")</f>
        <v>SD2022/0071574</v>
      </c>
      <c r="B366" s="8" t="s">
        <v>921</v>
      </c>
      <c r="C366" s="57" t="s">
        <v>7</v>
      </c>
      <c r="D366" s="104" t="s">
        <v>8</v>
      </c>
      <c r="E366" s="67"/>
      <c r="F366" s="68"/>
      <c r="G366" s="66" t="s">
        <v>6</v>
      </c>
      <c r="H366" s="66"/>
      <c r="I366" s="122"/>
      <c r="J366" s="68"/>
      <c r="K366" s="66" t="s">
        <v>6</v>
      </c>
      <c r="L366" s="66"/>
      <c r="M366" s="143" t="s">
        <v>1848</v>
      </c>
      <c r="N366" s="144" t="s">
        <v>6</v>
      </c>
      <c r="O366" s="6" t="s">
        <v>19</v>
      </c>
      <c r="P366" s="5" t="s">
        <v>905</v>
      </c>
      <c r="Q366" s="5" t="s">
        <v>0</v>
      </c>
      <c r="R366" s="7" t="s">
        <v>906</v>
      </c>
    </row>
    <row r="367" spans="1:18" ht="15.75" hidden="1" customHeight="1">
      <c r="A367" s="196" t="str">
        <f>HYPERLINK("http://sipi.sic.gov.co/sipi/View.ashx?4264344","SD2022/0071599")</f>
        <v>SD2022/0071599</v>
      </c>
      <c r="B367" s="8" t="s">
        <v>922</v>
      </c>
      <c r="C367" s="57" t="s">
        <v>7</v>
      </c>
      <c r="D367" s="104" t="s">
        <v>17</v>
      </c>
      <c r="E367" s="67" t="s">
        <v>904</v>
      </c>
      <c r="F367" s="68" t="s">
        <v>1764</v>
      </c>
      <c r="G367" s="66" t="s">
        <v>1848</v>
      </c>
      <c r="H367" s="66" t="s">
        <v>9</v>
      </c>
      <c r="I367" s="122"/>
      <c r="J367" s="68"/>
      <c r="K367" s="66" t="s">
        <v>6</v>
      </c>
      <c r="L367" s="66"/>
      <c r="M367" s="143" t="s">
        <v>1848</v>
      </c>
      <c r="N367" s="144" t="s">
        <v>6</v>
      </c>
      <c r="O367" s="6" t="s">
        <v>9</v>
      </c>
      <c r="P367" s="5" t="s">
        <v>905</v>
      </c>
      <c r="Q367" s="5" t="s">
        <v>0</v>
      </c>
      <c r="R367" s="7" t="s">
        <v>906</v>
      </c>
    </row>
    <row r="368" spans="1:18" ht="15.75" hidden="1" customHeight="1">
      <c r="A368" s="196" t="str">
        <f>HYPERLINK("http://sipi.sic.gov.co/sipi/View.ashx?4264381","SD2022/0071610")</f>
        <v>SD2022/0071610</v>
      </c>
      <c r="B368" s="8" t="s">
        <v>923</v>
      </c>
      <c r="C368" s="57" t="s">
        <v>7</v>
      </c>
      <c r="D368" s="104" t="s">
        <v>8</v>
      </c>
      <c r="E368" s="67"/>
      <c r="F368" s="68"/>
      <c r="G368" s="66" t="s">
        <v>6</v>
      </c>
      <c r="H368" s="66"/>
      <c r="I368" s="122"/>
      <c r="J368" s="68"/>
      <c r="K368" s="66" t="s">
        <v>6</v>
      </c>
      <c r="L368" s="66"/>
      <c r="M368" s="143" t="s">
        <v>1848</v>
      </c>
      <c r="N368" s="144" t="s">
        <v>6</v>
      </c>
      <c r="O368" s="6" t="s">
        <v>9</v>
      </c>
      <c r="P368" s="5" t="s">
        <v>905</v>
      </c>
      <c r="Q368" s="5" t="s">
        <v>0</v>
      </c>
      <c r="R368" s="7" t="s">
        <v>906</v>
      </c>
    </row>
    <row r="369" spans="1:18" ht="15.75" hidden="1" customHeight="1">
      <c r="A369" s="196" t="str">
        <f>HYPERLINK("http://sipi.sic.gov.co/sipi/View.ashx?4264857","SD2022/0071740")</f>
        <v>SD2022/0071740</v>
      </c>
      <c r="B369" s="8" t="s">
        <v>924</v>
      </c>
      <c r="C369" s="57" t="s">
        <v>7</v>
      </c>
      <c r="D369" s="104" t="s">
        <v>8</v>
      </c>
      <c r="E369" s="67"/>
      <c r="F369" s="68"/>
      <c r="G369" s="66" t="s">
        <v>6</v>
      </c>
      <c r="H369" s="66"/>
      <c r="I369" s="122"/>
      <c r="J369" s="68"/>
      <c r="K369" s="66" t="s">
        <v>6</v>
      </c>
      <c r="L369" s="66"/>
      <c r="M369" s="143" t="s">
        <v>1848</v>
      </c>
      <c r="N369" s="144" t="s">
        <v>6</v>
      </c>
      <c r="O369" s="6" t="s">
        <v>19</v>
      </c>
      <c r="P369" s="5" t="s">
        <v>925</v>
      </c>
      <c r="Q369" s="5" t="s">
        <v>58</v>
      </c>
      <c r="R369" s="7" t="s">
        <v>926</v>
      </c>
    </row>
    <row r="370" spans="1:18" ht="15.75" hidden="1" customHeight="1">
      <c r="A370" s="196" t="str">
        <f>HYPERLINK("http://sipi.sic.gov.co/sipi/View.ashx?4265036","SD2022/0072019")</f>
        <v>SD2022/0072019</v>
      </c>
      <c r="B370" s="8" t="s">
        <v>927</v>
      </c>
      <c r="C370" s="57" t="s">
        <v>13</v>
      </c>
      <c r="D370" s="104" t="s">
        <v>17</v>
      </c>
      <c r="E370" s="67" t="s">
        <v>928</v>
      </c>
      <c r="F370" s="68" t="s">
        <v>1765</v>
      </c>
      <c r="G370" s="66" t="s">
        <v>1848</v>
      </c>
      <c r="H370" s="66" t="s">
        <v>9</v>
      </c>
      <c r="I370" s="122"/>
      <c r="J370" s="68"/>
      <c r="K370" s="66" t="s">
        <v>6</v>
      </c>
      <c r="L370" s="66"/>
      <c r="M370" s="143" t="s">
        <v>1848</v>
      </c>
      <c r="N370" s="144" t="s">
        <v>6</v>
      </c>
      <c r="O370" s="6" t="s">
        <v>9</v>
      </c>
      <c r="P370" s="5" t="s">
        <v>929</v>
      </c>
      <c r="Q370" s="5" t="s">
        <v>0</v>
      </c>
      <c r="R370" s="7" t="s">
        <v>930</v>
      </c>
    </row>
    <row r="371" spans="1:18" ht="85.5" hidden="1" customHeight="1">
      <c r="A371" s="196" t="str">
        <f>HYPERLINK("http://sipi.sic.gov.co/sipi/View.ashx?4265596","SD2022/0072049")</f>
        <v>SD2022/0072049</v>
      </c>
      <c r="B371" s="8" t="s">
        <v>931</v>
      </c>
      <c r="C371" s="57" t="s">
        <v>13</v>
      </c>
      <c r="D371" s="104" t="s">
        <v>17</v>
      </c>
      <c r="E371" s="67" t="s">
        <v>932</v>
      </c>
      <c r="F371" s="68" t="s">
        <v>1766</v>
      </c>
      <c r="G371" s="66" t="s">
        <v>1848</v>
      </c>
      <c r="H371" s="66" t="s">
        <v>19</v>
      </c>
      <c r="I371" s="122"/>
      <c r="J371" s="68"/>
      <c r="K371" s="66" t="s">
        <v>6</v>
      </c>
      <c r="L371" s="66"/>
      <c r="M371" s="143" t="s">
        <v>1848</v>
      </c>
      <c r="N371" s="144" t="s">
        <v>6</v>
      </c>
      <c r="O371" s="6" t="s">
        <v>9</v>
      </c>
      <c r="P371" s="5" t="s">
        <v>933</v>
      </c>
      <c r="Q371" s="5" t="s">
        <v>934</v>
      </c>
      <c r="R371" s="7" t="s">
        <v>935</v>
      </c>
    </row>
    <row r="372" spans="1:18" ht="81" hidden="1" customHeight="1">
      <c r="A372" s="196" t="str">
        <f>HYPERLINK("http://sipi.sic.gov.co/sipi/View.ashx?4267408","SD2022/0072401")</f>
        <v>SD2022/0072401</v>
      </c>
      <c r="B372" s="8" t="s">
        <v>936</v>
      </c>
      <c r="C372" s="57" t="s">
        <v>13</v>
      </c>
      <c r="D372" s="104" t="s">
        <v>8</v>
      </c>
      <c r="E372" s="67"/>
      <c r="F372" s="68"/>
      <c r="G372" s="66" t="s">
        <v>6</v>
      </c>
      <c r="H372" s="66"/>
      <c r="I372" s="122"/>
      <c r="J372" s="68"/>
      <c r="K372" s="66" t="s">
        <v>6</v>
      </c>
      <c r="L372" s="66"/>
      <c r="M372" s="143" t="s">
        <v>1848</v>
      </c>
      <c r="N372" s="144" t="s">
        <v>6</v>
      </c>
      <c r="O372" s="6" t="s">
        <v>19</v>
      </c>
      <c r="P372" s="5" t="s">
        <v>937</v>
      </c>
      <c r="Q372" s="5" t="s">
        <v>0</v>
      </c>
      <c r="R372" s="7" t="s">
        <v>938</v>
      </c>
    </row>
    <row r="373" spans="1:18" ht="112.5" hidden="1" customHeight="1">
      <c r="A373" s="196" t="str">
        <f>HYPERLINK("http://sipi.sic.gov.co/sipi/View.ashx?4267453","SD2022/0072403")</f>
        <v>SD2022/0072403</v>
      </c>
      <c r="B373" s="8" t="s">
        <v>939</v>
      </c>
      <c r="C373" s="57" t="s">
        <v>13</v>
      </c>
      <c r="D373" s="104" t="s">
        <v>8</v>
      </c>
      <c r="E373" s="67"/>
      <c r="F373" s="68"/>
      <c r="G373" s="66" t="s">
        <v>6</v>
      </c>
      <c r="H373" s="66"/>
      <c r="I373" s="122"/>
      <c r="J373" s="68"/>
      <c r="K373" s="66" t="s">
        <v>6</v>
      </c>
      <c r="L373" s="66"/>
      <c r="M373" s="143" t="s">
        <v>1848</v>
      </c>
      <c r="N373" s="144" t="s">
        <v>6</v>
      </c>
      <c r="O373" s="6" t="s">
        <v>19</v>
      </c>
      <c r="P373" s="5" t="s">
        <v>937</v>
      </c>
      <c r="Q373" s="5" t="s">
        <v>0</v>
      </c>
      <c r="R373" s="7" t="s">
        <v>940</v>
      </c>
    </row>
    <row r="374" spans="1:18" ht="15.75" hidden="1" customHeight="1">
      <c r="A374" s="196" t="str">
        <f>HYPERLINK("http://sipi.sic.gov.co/sipi/View.ashx?4268214","SD2022/0072446")</f>
        <v>SD2022/0072446</v>
      </c>
      <c r="B374" s="8" t="s">
        <v>941</v>
      </c>
      <c r="C374" s="57" t="s">
        <v>13</v>
      </c>
      <c r="D374" s="104" t="s">
        <v>8</v>
      </c>
      <c r="E374" s="67"/>
      <c r="F374" s="68"/>
      <c r="G374" s="66" t="s">
        <v>6</v>
      </c>
      <c r="H374" s="66"/>
      <c r="I374" s="122"/>
      <c r="J374" s="68"/>
      <c r="K374" s="66" t="s">
        <v>6</v>
      </c>
      <c r="L374" s="66"/>
      <c r="M374" s="143" t="s">
        <v>1848</v>
      </c>
      <c r="N374" s="144" t="s">
        <v>6</v>
      </c>
      <c r="O374" s="6" t="s">
        <v>9</v>
      </c>
      <c r="P374" s="5" t="s">
        <v>942</v>
      </c>
      <c r="Q374" s="5" t="s">
        <v>0</v>
      </c>
      <c r="R374" s="7" t="s">
        <v>943</v>
      </c>
    </row>
    <row r="375" spans="1:18" ht="15.75" hidden="1" customHeight="1">
      <c r="A375" s="196" t="str">
        <f>HYPERLINK("http://sipi.sic.gov.co/sipi/View.ashx?4268216","SD2022/0072858")</f>
        <v>SD2022/0072858</v>
      </c>
      <c r="B375" s="8" t="s">
        <v>944</v>
      </c>
      <c r="C375" s="57" t="s">
        <v>13</v>
      </c>
      <c r="D375" s="104" t="s">
        <v>8</v>
      </c>
      <c r="E375" s="67"/>
      <c r="F375" s="68"/>
      <c r="G375" s="66" t="s">
        <v>6</v>
      </c>
      <c r="H375" s="66"/>
      <c r="I375" s="122"/>
      <c r="J375" s="68"/>
      <c r="K375" s="66" t="s">
        <v>6</v>
      </c>
      <c r="L375" s="66"/>
      <c r="M375" s="143" t="s">
        <v>1848</v>
      </c>
      <c r="N375" s="144" t="s">
        <v>6</v>
      </c>
      <c r="O375" s="6" t="s">
        <v>9</v>
      </c>
      <c r="P375" s="5" t="s">
        <v>945</v>
      </c>
      <c r="Q375" s="5" t="s">
        <v>0</v>
      </c>
      <c r="R375" s="7" t="s">
        <v>946</v>
      </c>
    </row>
    <row r="376" spans="1:18" ht="15.75" hidden="1" customHeight="1">
      <c r="A376" s="196" t="str">
        <f>HYPERLINK("http://sipi.sic.gov.co/sipi/View.ashx?4268707","SD2022/0072605")</f>
        <v>SD2022/0072605</v>
      </c>
      <c r="B376" s="8" t="s">
        <v>947</v>
      </c>
      <c r="C376" s="57" t="s">
        <v>7</v>
      </c>
      <c r="D376" s="104" t="s">
        <v>8</v>
      </c>
      <c r="E376" s="67"/>
      <c r="F376" s="68"/>
      <c r="G376" s="66" t="s">
        <v>6</v>
      </c>
      <c r="H376" s="66"/>
      <c r="I376" s="122"/>
      <c r="J376" s="68"/>
      <c r="K376" s="66" t="s">
        <v>6</v>
      </c>
      <c r="L376" s="66"/>
      <c r="M376" s="143" t="s">
        <v>1848</v>
      </c>
      <c r="N376" s="144" t="s">
        <v>6</v>
      </c>
      <c r="O376" s="6" t="s">
        <v>9</v>
      </c>
      <c r="P376" s="5" t="s">
        <v>948</v>
      </c>
      <c r="Q376" s="5" t="s">
        <v>949</v>
      </c>
      <c r="R376" s="7" t="s">
        <v>950</v>
      </c>
    </row>
    <row r="377" spans="1:18" ht="15.75" hidden="1" customHeight="1">
      <c r="A377" s="196" t="str">
        <f>HYPERLINK("http://sipi.sic.gov.co/sipi/View.ashx?4268823","SD2022/0072607")</f>
        <v>SD2022/0072607</v>
      </c>
      <c r="B377" s="8" t="s">
        <v>951</v>
      </c>
      <c r="C377" s="57" t="s">
        <v>13</v>
      </c>
      <c r="D377" s="104" t="s">
        <v>8</v>
      </c>
      <c r="E377" s="67"/>
      <c r="F377" s="68"/>
      <c r="G377" s="66" t="s">
        <v>6</v>
      </c>
      <c r="H377" s="66"/>
      <c r="I377" s="122"/>
      <c r="J377" s="68"/>
      <c r="K377" s="66" t="s">
        <v>6</v>
      </c>
      <c r="L377" s="66"/>
      <c r="M377" s="143" t="s">
        <v>1848</v>
      </c>
      <c r="N377" s="144" t="s">
        <v>6</v>
      </c>
      <c r="O377" s="6" t="s">
        <v>9</v>
      </c>
      <c r="P377" s="5" t="s">
        <v>948</v>
      </c>
      <c r="Q377" s="5" t="s">
        <v>949</v>
      </c>
      <c r="R377" s="7" t="s">
        <v>950</v>
      </c>
    </row>
    <row r="378" spans="1:18" ht="15.75" hidden="1" customHeight="1">
      <c r="A378" s="196" t="str">
        <f>HYPERLINK("http://sipi.sic.gov.co/sipi/View.ashx?4270565","SD2022/0073330")</f>
        <v>SD2022/0073330</v>
      </c>
      <c r="B378" s="8" t="s">
        <v>952</v>
      </c>
      <c r="C378" s="57" t="s">
        <v>13</v>
      </c>
      <c r="D378" s="104" t="s">
        <v>8</v>
      </c>
      <c r="E378" s="67"/>
      <c r="F378" s="68"/>
      <c r="G378" s="66" t="s">
        <v>6</v>
      </c>
      <c r="H378" s="66"/>
      <c r="I378" s="122"/>
      <c r="J378" s="68"/>
      <c r="K378" s="66" t="s">
        <v>6</v>
      </c>
      <c r="L378" s="66"/>
      <c r="M378" s="143" t="s">
        <v>1848</v>
      </c>
      <c r="N378" s="144" t="s">
        <v>6</v>
      </c>
      <c r="O378" s="6" t="s">
        <v>9</v>
      </c>
      <c r="P378" s="5" t="s">
        <v>953</v>
      </c>
      <c r="Q378" s="5" t="s">
        <v>954</v>
      </c>
      <c r="R378" s="7" t="s">
        <v>955</v>
      </c>
    </row>
    <row r="379" spans="1:18" ht="15.75" hidden="1" customHeight="1">
      <c r="A379" s="196" t="str">
        <f>HYPERLINK("http://sipi.sic.gov.co/sipi/View.ashx?4271231","SD2022/0073082")</f>
        <v>SD2022/0073082</v>
      </c>
      <c r="B379" s="8" t="s">
        <v>956</v>
      </c>
      <c r="C379" s="57" t="s">
        <v>7</v>
      </c>
      <c r="D379" s="104" t="s">
        <v>8</v>
      </c>
      <c r="E379" s="67"/>
      <c r="F379" s="68"/>
      <c r="G379" s="66" t="s">
        <v>6</v>
      </c>
      <c r="H379" s="66"/>
      <c r="I379" s="122"/>
      <c r="J379" s="68"/>
      <c r="K379" s="66" t="s">
        <v>6</v>
      </c>
      <c r="L379" s="66"/>
      <c r="M379" s="143" t="s">
        <v>1848</v>
      </c>
      <c r="N379" s="144" t="s">
        <v>6</v>
      </c>
      <c r="O379" s="6" t="s">
        <v>9</v>
      </c>
      <c r="P379" s="5" t="s">
        <v>957</v>
      </c>
      <c r="Q379" s="5" t="s">
        <v>0</v>
      </c>
      <c r="R379" s="7" t="s">
        <v>958</v>
      </c>
    </row>
    <row r="380" spans="1:18" ht="15.75" hidden="1" customHeight="1">
      <c r="A380" s="196" t="str">
        <f>HYPERLINK("http://sipi.sic.gov.co/sipi/View.ashx?4272915","SD2022/0073478")</f>
        <v>SD2022/0073478</v>
      </c>
      <c r="B380" s="8" t="s">
        <v>959</v>
      </c>
      <c r="C380" s="57" t="s">
        <v>13</v>
      </c>
      <c r="D380" s="104" t="s">
        <v>8</v>
      </c>
      <c r="E380" s="67"/>
      <c r="F380" s="68"/>
      <c r="G380" s="66" t="s">
        <v>6</v>
      </c>
      <c r="H380" s="66"/>
      <c r="I380" s="122"/>
      <c r="J380" s="68"/>
      <c r="K380" s="66" t="s">
        <v>6</v>
      </c>
      <c r="L380" s="66"/>
      <c r="M380" s="143" t="s">
        <v>1848</v>
      </c>
      <c r="N380" s="144" t="s">
        <v>6</v>
      </c>
      <c r="O380" s="6" t="s">
        <v>9</v>
      </c>
      <c r="P380" s="5" t="s">
        <v>960</v>
      </c>
      <c r="Q380" s="5" t="s">
        <v>0</v>
      </c>
      <c r="R380" s="7" t="s">
        <v>961</v>
      </c>
    </row>
    <row r="381" spans="1:18" ht="15.75" hidden="1" customHeight="1">
      <c r="A381" s="209" t="str">
        <f>HYPERLINK("http://sipi.sic.gov.co/sipi/View.ashx?4273045","SD2022/0073513")</f>
        <v>SD2022/0073513</v>
      </c>
      <c r="B381" s="188" t="s">
        <v>962</v>
      </c>
      <c r="C381" s="189" t="s">
        <v>7</v>
      </c>
      <c r="D381" s="190" t="s">
        <v>17</v>
      </c>
      <c r="E381" s="191" t="s">
        <v>963</v>
      </c>
      <c r="F381" s="191" t="s">
        <v>1767</v>
      </c>
      <c r="G381" s="70" t="s">
        <v>1856</v>
      </c>
      <c r="H381" s="70" t="s">
        <v>9</v>
      </c>
      <c r="I381" s="122"/>
      <c r="J381" s="68"/>
      <c r="K381" s="66"/>
      <c r="L381" s="66"/>
      <c r="M381" s="143" t="s">
        <v>6</v>
      </c>
      <c r="N381" s="144" t="s">
        <v>6</v>
      </c>
      <c r="O381" s="6"/>
      <c r="P381" s="5"/>
      <c r="Q381" s="5"/>
      <c r="R381" s="7"/>
    </row>
    <row r="382" spans="1:18" ht="15.75" hidden="1" customHeight="1">
      <c r="A382" s="210"/>
      <c r="B382" s="188" t="s">
        <v>962</v>
      </c>
      <c r="C382" s="189" t="s">
        <v>7</v>
      </c>
      <c r="D382" s="190" t="s">
        <v>17</v>
      </c>
      <c r="E382" s="191" t="s">
        <v>963</v>
      </c>
      <c r="F382" s="191" t="s">
        <v>1767</v>
      </c>
      <c r="G382" s="66" t="s">
        <v>1848</v>
      </c>
      <c r="H382" s="86" t="s">
        <v>9</v>
      </c>
      <c r="I382" s="122"/>
      <c r="J382" s="68"/>
      <c r="K382" s="66"/>
      <c r="L382" s="66"/>
      <c r="M382" s="143" t="s">
        <v>6</v>
      </c>
      <c r="N382" s="144" t="s">
        <v>6</v>
      </c>
      <c r="O382" s="6"/>
      <c r="P382" s="5"/>
      <c r="Q382" s="5"/>
      <c r="R382" s="7"/>
    </row>
    <row r="383" spans="1:18" ht="58.5" hidden="1" customHeight="1">
      <c r="A383" s="211"/>
      <c r="B383" s="188" t="s">
        <v>962</v>
      </c>
      <c r="C383" s="189" t="s">
        <v>7</v>
      </c>
      <c r="D383" s="190" t="s">
        <v>17</v>
      </c>
      <c r="E383" s="191" t="s">
        <v>963</v>
      </c>
      <c r="F383" s="191" t="s">
        <v>1767</v>
      </c>
      <c r="G383" s="66" t="s">
        <v>1849</v>
      </c>
      <c r="H383" s="86" t="s">
        <v>9</v>
      </c>
      <c r="I383" s="131"/>
      <c r="J383" s="88"/>
      <c r="M383" s="150" t="s">
        <v>1848</v>
      </c>
      <c r="N383" s="144" t="s">
        <v>1856</v>
      </c>
      <c r="O383" s="28" t="s">
        <v>9</v>
      </c>
      <c r="P383" s="27" t="s">
        <v>964</v>
      </c>
      <c r="Q383" s="27" t="s">
        <v>278</v>
      </c>
      <c r="R383" s="29" t="s">
        <v>965</v>
      </c>
    </row>
    <row r="384" spans="1:18" ht="15.75" hidden="1" customHeight="1">
      <c r="A384" s="196" t="str">
        <f>HYPERLINK("http://sipi.sic.gov.co/sipi/View.ashx?4273785","SD2022/0073729")</f>
        <v>SD2022/0073729</v>
      </c>
      <c r="B384" s="8" t="s">
        <v>966</v>
      </c>
      <c r="C384" s="57" t="s">
        <v>13</v>
      </c>
      <c r="D384" s="104" t="s">
        <v>8</v>
      </c>
      <c r="E384" s="67"/>
      <c r="F384" s="68"/>
      <c r="G384" s="66" t="s">
        <v>6</v>
      </c>
      <c r="H384" s="66"/>
      <c r="I384" s="122"/>
      <c r="J384" s="68"/>
      <c r="K384" s="66" t="s">
        <v>6</v>
      </c>
      <c r="L384" s="66"/>
      <c r="M384" s="143" t="s">
        <v>1848</v>
      </c>
      <c r="N384" s="144" t="s">
        <v>6</v>
      </c>
      <c r="O384" s="6" t="s">
        <v>9</v>
      </c>
      <c r="P384" s="5" t="s">
        <v>967</v>
      </c>
      <c r="Q384" s="5" t="s">
        <v>0</v>
      </c>
      <c r="R384" s="7" t="s">
        <v>487</v>
      </c>
    </row>
    <row r="385" spans="1:18" ht="15.75" hidden="1" customHeight="1">
      <c r="A385" s="196" t="str">
        <f>HYPERLINK("http://sipi.sic.gov.co/sipi/View.ashx?4273812","SD2022/0073745")</f>
        <v>SD2022/0073745</v>
      </c>
      <c r="B385" s="8" t="s">
        <v>968</v>
      </c>
      <c r="C385" s="57" t="s">
        <v>13</v>
      </c>
      <c r="D385" s="104" t="s">
        <v>8</v>
      </c>
      <c r="E385" s="67"/>
      <c r="F385" s="68"/>
      <c r="G385" s="66" t="s">
        <v>6</v>
      </c>
      <c r="H385" s="66"/>
      <c r="I385" s="122"/>
      <c r="J385" s="68"/>
      <c r="K385" s="66" t="s">
        <v>6</v>
      </c>
      <c r="L385" s="66"/>
      <c r="M385" s="143" t="s">
        <v>1848</v>
      </c>
      <c r="N385" s="144" t="s">
        <v>6</v>
      </c>
      <c r="O385" s="6" t="s">
        <v>9</v>
      </c>
      <c r="P385" s="5" t="s">
        <v>967</v>
      </c>
      <c r="Q385" s="5" t="s">
        <v>0</v>
      </c>
      <c r="R385" s="7" t="s">
        <v>487</v>
      </c>
    </row>
    <row r="386" spans="1:18" ht="15.75" hidden="1" customHeight="1">
      <c r="A386" s="196" t="str">
        <f>HYPERLINK("http://sipi.sic.gov.co/sipi/View.ashx?4274706","SD2022/0073926")</f>
        <v>SD2022/0073926</v>
      </c>
      <c r="B386" s="8" t="s">
        <v>969</v>
      </c>
      <c r="C386" s="57" t="s">
        <v>7</v>
      </c>
      <c r="D386" s="104" t="s">
        <v>17</v>
      </c>
      <c r="E386" s="67" t="s">
        <v>970</v>
      </c>
      <c r="F386" s="68" t="s">
        <v>1768</v>
      </c>
      <c r="G386" s="66" t="s">
        <v>1848</v>
      </c>
      <c r="H386" s="66" t="s">
        <v>9</v>
      </c>
      <c r="I386" s="122"/>
      <c r="J386" s="68"/>
      <c r="K386" s="66" t="s">
        <v>6</v>
      </c>
      <c r="L386" s="66"/>
      <c r="M386" s="143" t="s">
        <v>1848</v>
      </c>
      <c r="N386" s="144" t="s">
        <v>6</v>
      </c>
      <c r="O386" s="6" t="s">
        <v>9</v>
      </c>
      <c r="P386" s="5" t="s">
        <v>971</v>
      </c>
      <c r="Q386" s="5" t="s">
        <v>0</v>
      </c>
      <c r="R386" s="7" t="s">
        <v>232</v>
      </c>
    </row>
    <row r="387" spans="1:18" ht="15.75" hidden="1" customHeight="1">
      <c r="A387" s="196" t="str">
        <f>HYPERLINK("http://sipi.sic.gov.co/sipi/View.ashx?4274727","SD2022/0073928")</f>
        <v>SD2022/0073928</v>
      </c>
      <c r="B387" s="8" t="s">
        <v>972</v>
      </c>
      <c r="C387" s="57" t="s">
        <v>7</v>
      </c>
      <c r="D387" s="104" t="s">
        <v>17</v>
      </c>
      <c r="E387" s="67" t="s">
        <v>973</v>
      </c>
      <c r="F387" s="68" t="s">
        <v>1769</v>
      </c>
      <c r="G387" s="66" t="s">
        <v>1848</v>
      </c>
      <c r="H387" s="66" t="s">
        <v>19</v>
      </c>
      <c r="I387" s="122"/>
      <c r="J387" s="68"/>
      <c r="K387" s="66" t="s">
        <v>6</v>
      </c>
      <c r="L387" s="66"/>
      <c r="M387" s="143" t="s">
        <v>1848</v>
      </c>
      <c r="N387" s="144" t="s">
        <v>6</v>
      </c>
      <c r="O387" s="6" t="s">
        <v>9</v>
      </c>
      <c r="P387" s="5" t="s">
        <v>971</v>
      </c>
      <c r="Q387" s="5" t="s">
        <v>0</v>
      </c>
      <c r="R387" s="7" t="s">
        <v>232</v>
      </c>
    </row>
    <row r="388" spans="1:18" ht="15.75" hidden="1" customHeight="1">
      <c r="A388" s="196" t="str">
        <f>HYPERLINK("http://sipi.sic.gov.co/sipi/View.ashx?4275210","SD2022/0074098")</f>
        <v>SD2022/0074098</v>
      </c>
      <c r="B388" s="8" t="s">
        <v>974</v>
      </c>
      <c r="C388" s="57" t="s">
        <v>7</v>
      </c>
      <c r="D388" s="104" t="s">
        <v>8</v>
      </c>
      <c r="E388" s="67"/>
      <c r="F388" s="68"/>
      <c r="G388" s="66" t="s">
        <v>6</v>
      </c>
      <c r="H388" s="66"/>
      <c r="I388" s="122"/>
      <c r="J388" s="68"/>
      <c r="K388" s="66" t="s">
        <v>6</v>
      </c>
      <c r="L388" s="66"/>
      <c r="M388" s="143" t="s">
        <v>1848</v>
      </c>
      <c r="N388" s="144" t="s">
        <v>6</v>
      </c>
      <c r="O388" s="6" t="s">
        <v>9</v>
      </c>
      <c r="P388" s="5" t="s">
        <v>975</v>
      </c>
      <c r="Q388" s="5" t="s">
        <v>0</v>
      </c>
      <c r="R388" s="7" t="s">
        <v>976</v>
      </c>
    </row>
    <row r="389" spans="1:18" ht="64.5" hidden="1" customHeight="1">
      <c r="A389" s="196" t="str">
        <f>HYPERLINK("http://sipi.sic.gov.co/sipi/View.ashx?4276006","SD2022/0074303")</f>
        <v>SD2022/0074303</v>
      </c>
      <c r="B389" s="8" t="s">
        <v>977</v>
      </c>
      <c r="C389" s="57" t="s">
        <v>13</v>
      </c>
      <c r="D389" s="104" t="s">
        <v>8</v>
      </c>
      <c r="E389" s="67"/>
      <c r="F389" s="68"/>
      <c r="G389" s="66" t="s">
        <v>6</v>
      </c>
      <c r="H389" s="66"/>
      <c r="I389" s="122"/>
      <c r="J389" s="68"/>
      <c r="K389" s="66" t="s">
        <v>6</v>
      </c>
      <c r="L389" s="66"/>
      <c r="M389" s="143" t="s">
        <v>1848</v>
      </c>
      <c r="N389" s="144" t="s">
        <v>6</v>
      </c>
      <c r="O389" s="6" t="s">
        <v>9</v>
      </c>
      <c r="P389" s="5" t="s">
        <v>978</v>
      </c>
      <c r="Q389" s="5" t="s">
        <v>0</v>
      </c>
      <c r="R389" s="7" t="s">
        <v>979</v>
      </c>
    </row>
    <row r="390" spans="1:18" ht="15.75" hidden="1" customHeight="1">
      <c r="A390" s="196" t="str">
        <f>HYPERLINK("http://sipi.sic.gov.co/sipi/View.ashx?4276672","SD2022/0074428")</f>
        <v>SD2022/0074428</v>
      </c>
      <c r="B390" s="8" t="s">
        <v>980</v>
      </c>
      <c r="C390" s="57" t="s">
        <v>7</v>
      </c>
      <c r="D390" s="104" t="s">
        <v>8</v>
      </c>
      <c r="E390" s="67"/>
      <c r="F390" s="68"/>
      <c r="G390" s="66" t="s">
        <v>6</v>
      </c>
      <c r="H390" s="66"/>
      <c r="I390" s="122"/>
      <c r="J390" s="68"/>
      <c r="K390" s="66" t="s">
        <v>6</v>
      </c>
      <c r="L390" s="66"/>
      <c r="M390" s="143" t="s">
        <v>1848</v>
      </c>
      <c r="N390" s="144" t="s">
        <v>6</v>
      </c>
      <c r="O390" s="6" t="s">
        <v>19</v>
      </c>
      <c r="P390" s="5" t="s">
        <v>981</v>
      </c>
      <c r="Q390" s="5" t="s">
        <v>0</v>
      </c>
      <c r="R390" s="7" t="s">
        <v>11</v>
      </c>
    </row>
    <row r="391" spans="1:18" ht="100.5" hidden="1" customHeight="1">
      <c r="A391" s="196" t="str">
        <f>HYPERLINK("http://sipi.sic.gov.co/sipi/View.ashx?4284209","SD2022/0076021")</f>
        <v>SD2022/0076021</v>
      </c>
      <c r="B391" s="8" t="s">
        <v>982</v>
      </c>
      <c r="C391" s="57" t="s">
        <v>13</v>
      </c>
      <c r="D391" s="104" t="s">
        <v>8</v>
      </c>
      <c r="E391" s="67"/>
      <c r="F391" s="68"/>
      <c r="G391" s="66" t="s">
        <v>6</v>
      </c>
      <c r="H391" s="66"/>
      <c r="I391" s="122"/>
      <c r="J391" s="68"/>
      <c r="K391" s="66" t="s">
        <v>6</v>
      </c>
      <c r="L391" s="66"/>
      <c r="M391" s="143" t="s">
        <v>1848</v>
      </c>
      <c r="N391" s="144" t="s">
        <v>6</v>
      </c>
      <c r="O391" s="6" t="s">
        <v>19</v>
      </c>
      <c r="P391" s="5" t="s">
        <v>983</v>
      </c>
      <c r="Q391" s="5" t="s">
        <v>218</v>
      </c>
      <c r="R391" s="7" t="s">
        <v>984</v>
      </c>
    </row>
    <row r="392" spans="1:18" ht="15.75" hidden="1" customHeight="1">
      <c r="A392" s="196" t="str">
        <f>HYPERLINK("http://sipi.sic.gov.co/sipi/View.ashx?4285216","SD2022/0076347")</f>
        <v>SD2022/0076347</v>
      </c>
      <c r="B392" s="8" t="s">
        <v>985</v>
      </c>
      <c r="C392" s="57" t="s">
        <v>7</v>
      </c>
      <c r="D392" s="104" t="s">
        <v>8</v>
      </c>
      <c r="E392" s="67"/>
      <c r="F392" s="68"/>
      <c r="G392" s="66" t="s">
        <v>6</v>
      </c>
      <c r="H392" s="66"/>
      <c r="I392" s="122"/>
      <c r="J392" s="68"/>
      <c r="K392" s="66" t="s">
        <v>6</v>
      </c>
      <c r="L392" s="66"/>
      <c r="M392" s="143" t="s">
        <v>1848</v>
      </c>
      <c r="N392" s="144" t="s">
        <v>6</v>
      </c>
      <c r="O392" s="6" t="s">
        <v>19</v>
      </c>
      <c r="P392" s="5" t="s">
        <v>709</v>
      </c>
      <c r="Q392" s="5" t="s">
        <v>0</v>
      </c>
      <c r="R392" s="7" t="s">
        <v>710</v>
      </c>
    </row>
    <row r="393" spans="1:18" ht="63" customHeight="1">
      <c r="A393" s="196" t="str">
        <f>HYPERLINK("http://sipi.sic.gov.co/sipi/View.ashx?4285276","SD2022/0076355")</f>
        <v>SD2022/0076355</v>
      </c>
      <c r="B393" s="8" t="s">
        <v>986</v>
      </c>
      <c r="C393" s="57" t="s">
        <v>13</v>
      </c>
      <c r="D393" s="104" t="s">
        <v>17</v>
      </c>
      <c r="E393" s="67" t="s">
        <v>987</v>
      </c>
      <c r="F393" s="68" t="s">
        <v>1770</v>
      </c>
      <c r="G393" s="66" t="s">
        <v>1851</v>
      </c>
      <c r="H393" s="66" t="s">
        <v>19</v>
      </c>
      <c r="I393" s="122" t="s">
        <v>988</v>
      </c>
      <c r="J393" s="68" t="s">
        <v>1836</v>
      </c>
      <c r="K393" s="66" t="s">
        <v>1848</v>
      </c>
      <c r="L393" s="66" t="s">
        <v>9</v>
      </c>
      <c r="M393" s="143" t="s">
        <v>1848</v>
      </c>
      <c r="N393" s="144" t="s">
        <v>6</v>
      </c>
      <c r="O393" s="6" t="s">
        <v>9</v>
      </c>
      <c r="P393" s="5" t="s">
        <v>989</v>
      </c>
      <c r="Q393" s="5" t="s">
        <v>0</v>
      </c>
      <c r="R393" s="7" t="s">
        <v>990</v>
      </c>
    </row>
    <row r="394" spans="1:18" ht="62.4">
      <c r="A394" s="196" t="str">
        <f>HYPERLINK("http://sipi.sic.gov.co/sipi/View.ashx?4287925","SD2022/0076944")</f>
        <v>SD2022/0076944</v>
      </c>
      <c r="B394" s="8" t="s">
        <v>991</v>
      </c>
      <c r="C394" s="57" t="s">
        <v>13</v>
      </c>
      <c r="D394" s="104" t="s">
        <v>17</v>
      </c>
      <c r="E394" s="67" t="s">
        <v>992</v>
      </c>
      <c r="F394" s="68" t="s">
        <v>1771</v>
      </c>
      <c r="G394" s="66" t="s">
        <v>1848</v>
      </c>
      <c r="H394" s="66" t="s">
        <v>19</v>
      </c>
      <c r="I394" s="122" t="s">
        <v>993</v>
      </c>
      <c r="J394" s="68" t="s">
        <v>1837</v>
      </c>
      <c r="K394" s="66" t="s">
        <v>1848</v>
      </c>
      <c r="L394" s="66" t="s">
        <v>19</v>
      </c>
      <c r="M394" s="143" t="s">
        <v>1848</v>
      </c>
      <c r="N394" s="144" t="s">
        <v>6</v>
      </c>
      <c r="O394" s="6" t="s">
        <v>9</v>
      </c>
      <c r="P394" s="5" t="s">
        <v>994</v>
      </c>
      <c r="Q394" s="5" t="s">
        <v>0</v>
      </c>
      <c r="R394" s="7" t="s">
        <v>995</v>
      </c>
    </row>
    <row r="395" spans="1:18" ht="46.8">
      <c r="A395" s="196" t="str">
        <f>HYPERLINK("http://sipi.sic.gov.co/sipi/View.ashx?4287930","SD2022/0076946")</f>
        <v>SD2022/0076946</v>
      </c>
      <c r="B395" s="8" t="s">
        <v>996</v>
      </c>
      <c r="C395" s="57" t="s">
        <v>7</v>
      </c>
      <c r="D395" s="104" t="s">
        <v>8</v>
      </c>
      <c r="E395" s="67"/>
      <c r="F395" s="68"/>
      <c r="G395" s="66" t="s">
        <v>6</v>
      </c>
      <c r="H395" s="66"/>
      <c r="I395" s="122"/>
      <c r="J395" s="68"/>
      <c r="K395" s="66" t="s">
        <v>6</v>
      </c>
      <c r="L395" s="66"/>
      <c r="M395" s="143" t="s">
        <v>1848</v>
      </c>
      <c r="N395" s="144" t="s">
        <v>6</v>
      </c>
      <c r="O395" s="6" t="s">
        <v>9</v>
      </c>
      <c r="P395" s="5" t="s">
        <v>997</v>
      </c>
      <c r="Q395" s="5" t="s">
        <v>0</v>
      </c>
      <c r="R395" s="7" t="s">
        <v>906</v>
      </c>
    </row>
    <row r="396" spans="1:18" ht="46.8">
      <c r="A396" s="196" t="str">
        <f>HYPERLINK("http://sipi.sic.gov.co/sipi/View.ashx?4287964","SD2022/0076960")</f>
        <v>SD2022/0076960</v>
      </c>
      <c r="B396" s="8" t="s">
        <v>998</v>
      </c>
      <c r="C396" s="57" t="s">
        <v>7</v>
      </c>
      <c r="D396" s="104" t="s">
        <v>8</v>
      </c>
      <c r="E396" s="67"/>
      <c r="F396" s="68"/>
      <c r="G396" s="66" t="s">
        <v>6</v>
      </c>
      <c r="H396" s="66"/>
      <c r="I396" s="122"/>
      <c r="J396" s="68"/>
      <c r="K396" s="66" t="s">
        <v>6</v>
      </c>
      <c r="L396" s="66"/>
      <c r="M396" s="143" t="s">
        <v>1848</v>
      </c>
      <c r="N396" s="144" t="s">
        <v>6</v>
      </c>
      <c r="O396" s="6" t="s">
        <v>9</v>
      </c>
      <c r="P396" s="5" t="s">
        <v>997</v>
      </c>
      <c r="Q396" s="5" t="s">
        <v>0</v>
      </c>
      <c r="R396" s="7" t="s">
        <v>906</v>
      </c>
    </row>
    <row r="397" spans="1:18" ht="57.6">
      <c r="A397" s="196" t="str">
        <f>HYPERLINK("http://sipi.sic.gov.co/sipi/View.ashx?4288801","SD2022/0077203")</f>
        <v>SD2022/0077203</v>
      </c>
      <c r="B397" s="8" t="s">
        <v>999</v>
      </c>
      <c r="C397" s="57" t="s">
        <v>7</v>
      </c>
      <c r="D397" s="104" t="s">
        <v>8</v>
      </c>
      <c r="E397" s="67"/>
      <c r="F397" s="68"/>
      <c r="G397" s="66" t="s">
        <v>6</v>
      </c>
      <c r="H397" s="66"/>
      <c r="I397" s="122"/>
      <c r="J397" s="68"/>
      <c r="K397" s="66" t="s">
        <v>6</v>
      </c>
      <c r="L397" s="66"/>
      <c r="M397" s="143" t="s">
        <v>1848</v>
      </c>
      <c r="N397" s="144" t="s">
        <v>6</v>
      </c>
      <c r="O397" s="6" t="s">
        <v>19</v>
      </c>
      <c r="P397" s="5" t="s">
        <v>1000</v>
      </c>
      <c r="Q397" s="5" t="s">
        <v>0</v>
      </c>
      <c r="R397" s="7" t="s">
        <v>1001</v>
      </c>
    </row>
    <row r="398" spans="1:18" ht="46.8">
      <c r="A398" s="196" t="str">
        <f>HYPERLINK("http://sipi.sic.gov.co/sipi/View.ashx?4289378","SD2022/0077290")</f>
        <v>SD2022/0077290</v>
      </c>
      <c r="B398" s="8" t="s">
        <v>1002</v>
      </c>
      <c r="C398" s="57" t="s">
        <v>7</v>
      </c>
      <c r="D398" s="104" t="s">
        <v>8</v>
      </c>
      <c r="E398" s="67"/>
      <c r="F398" s="68"/>
      <c r="G398" s="66" t="s">
        <v>6</v>
      </c>
      <c r="H398" s="66"/>
      <c r="I398" s="122"/>
      <c r="J398" s="68"/>
      <c r="K398" s="66" t="s">
        <v>6</v>
      </c>
      <c r="L398" s="66"/>
      <c r="M398" s="143" t="s">
        <v>1849</v>
      </c>
      <c r="N398" s="144" t="s">
        <v>6</v>
      </c>
      <c r="O398" s="6" t="s">
        <v>19</v>
      </c>
      <c r="P398" s="5" t="s">
        <v>1003</v>
      </c>
      <c r="Q398" s="5" t="s">
        <v>0</v>
      </c>
      <c r="R398" s="7" t="s">
        <v>1004</v>
      </c>
    </row>
    <row r="399" spans="1:18" ht="46.8">
      <c r="A399" s="196" t="str">
        <f>HYPERLINK("http://sipi.sic.gov.co/sipi/View.ashx?4289384","SD2022/0077292")</f>
        <v>SD2022/0077292</v>
      </c>
      <c r="B399" s="8" t="s">
        <v>1005</v>
      </c>
      <c r="C399" s="57" t="s">
        <v>7</v>
      </c>
      <c r="D399" s="104" t="s">
        <v>8</v>
      </c>
      <c r="E399" s="67"/>
      <c r="F399" s="68"/>
      <c r="G399" s="66" t="s">
        <v>6</v>
      </c>
      <c r="H399" s="66"/>
      <c r="I399" s="122"/>
      <c r="J399" s="68"/>
      <c r="K399" s="66" t="s">
        <v>6</v>
      </c>
      <c r="L399" s="66"/>
      <c r="M399" s="143" t="s">
        <v>1848</v>
      </c>
      <c r="N399" s="144" t="s">
        <v>6</v>
      </c>
      <c r="O399" s="6" t="s">
        <v>19</v>
      </c>
      <c r="P399" s="5" t="s">
        <v>1003</v>
      </c>
      <c r="Q399" s="5" t="s">
        <v>0</v>
      </c>
      <c r="R399" s="7" t="s">
        <v>1004</v>
      </c>
    </row>
    <row r="400" spans="1:18" ht="46.8">
      <c r="A400" s="196" t="str">
        <f>HYPERLINK("http://sipi.sic.gov.co/sipi/View.ashx?4289389","SD2022/0077294")</f>
        <v>SD2022/0077294</v>
      </c>
      <c r="B400" s="8" t="s">
        <v>1006</v>
      </c>
      <c r="C400" s="57" t="s">
        <v>7</v>
      </c>
      <c r="D400" s="104" t="s">
        <v>8</v>
      </c>
      <c r="E400" s="67"/>
      <c r="F400" s="68"/>
      <c r="G400" s="66" t="s">
        <v>6</v>
      </c>
      <c r="H400" s="66"/>
      <c r="I400" s="122"/>
      <c r="J400" s="68"/>
      <c r="K400" s="66" t="s">
        <v>6</v>
      </c>
      <c r="L400" s="66"/>
      <c r="M400" s="143" t="s">
        <v>1848</v>
      </c>
      <c r="N400" s="144" t="s">
        <v>6</v>
      </c>
      <c r="O400" s="6" t="s">
        <v>19</v>
      </c>
      <c r="P400" s="5" t="s">
        <v>1003</v>
      </c>
      <c r="Q400" s="5" t="s">
        <v>0</v>
      </c>
      <c r="R400" s="7" t="s">
        <v>1004</v>
      </c>
    </row>
    <row r="401" spans="1:18" ht="46.8">
      <c r="A401" s="196" t="str">
        <f>HYPERLINK("http://sipi.sic.gov.co/sipi/View.ashx?4289391","SD2022/0077295")</f>
        <v>SD2022/0077295</v>
      </c>
      <c r="B401" s="8" t="s">
        <v>1007</v>
      </c>
      <c r="C401" s="57" t="s">
        <v>7</v>
      </c>
      <c r="D401" s="104" t="s">
        <v>17</v>
      </c>
      <c r="E401" s="67" t="s">
        <v>1008</v>
      </c>
      <c r="F401" s="68" t="s">
        <v>1772</v>
      </c>
      <c r="G401" s="66" t="s">
        <v>1848</v>
      </c>
      <c r="H401" s="66" t="s">
        <v>9</v>
      </c>
      <c r="I401" s="122"/>
      <c r="J401" s="68"/>
      <c r="K401" s="66" t="s">
        <v>6</v>
      </c>
      <c r="L401" s="66"/>
      <c r="M401" s="143" t="s">
        <v>1848</v>
      </c>
      <c r="N401" s="144" t="s">
        <v>6</v>
      </c>
      <c r="O401" s="6" t="s">
        <v>19</v>
      </c>
      <c r="P401" s="5" t="s">
        <v>1003</v>
      </c>
      <c r="Q401" s="5" t="s">
        <v>0</v>
      </c>
      <c r="R401" s="7" t="s">
        <v>1004</v>
      </c>
    </row>
    <row r="402" spans="1:18" ht="140.4">
      <c r="A402" s="196" t="str">
        <f>HYPERLINK("http://sipi.sic.gov.co/sipi/View.ashx?4293076","SD2022/0078528")</f>
        <v>SD2022/0078528</v>
      </c>
      <c r="B402" s="8" t="s">
        <v>1009</v>
      </c>
      <c r="C402" s="57" t="s">
        <v>7</v>
      </c>
      <c r="D402" s="104" t="s">
        <v>8</v>
      </c>
      <c r="E402" s="67"/>
      <c r="F402" s="68"/>
      <c r="G402" s="66" t="s">
        <v>6</v>
      </c>
      <c r="H402" s="66"/>
      <c r="I402" s="122"/>
      <c r="J402" s="68"/>
      <c r="K402" s="66" t="s">
        <v>6</v>
      </c>
      <c r="L402" s="66"/>
      <c r="M402" s="143" t="s">
        <v>1848</v>
      </c>
      <c r="N402" s="144" t="s">
        <v>6</v>
      </c>
      <c r="O402" s="6" t="s">
        <v>9</v>
      </c>
      <c r="P402" s="5" t="s">
        <v>470</v>
      </c>
      <c r="Q402" s="5" t="s">
        <v>0</v>
      </c>
      <c r="R402" s="7" t="s">
        <v>1010</v>
      </c>
    </row>
    <row r="403" spans="1:18" ht="78">
      <c r="A403" s="196" t="str">
        <f>HYPERLINK("http://sipi.sic.gov.co/sipi/View.ashx?4293418","SD2022/0078254")</f>
        <v>SD2022/0078254</v>
      </c>
      <c r="B403" s="8" t="s">
        <v>1011</v>
      </c>
      <c r="C403" s="57" t="s">
        <v>7</v>
      </c>
      <c r="D403" s="104" t="s">
        <v>8</v>
      </c>
      <c r="E403" s="67"/>
      <c r="F403" s="68"/>
      <c r="G403" s="66" t="s">
        <v>6</v>
      </c>
      <c r="H403" s="66"/>
      <c r="I403" s="122"/>
      <c r="J403" s="68"/>
      <c r="K403" s="66" t="s">
        <v>6</v>
      </c>
      <c r="L403" s="66"/>
      <c r="M403" s="143" t="s">
        <v>1848</v>
      </c>
      <c r="N403" s="144" t="s">
        <v>6</v>
      </c>
      <c r="O403" s="6" t="s">
        <v>19</v>
      </c>
      <c r="P403" s="5" t="s">
        <v>1012</v>
      </c>
      <c r="Q403" s="5" t="s">
        <v>0</v>
      </c>
      <c r="R403" s="7" t="s">
        <v>1013</v>
      </c>
    </row>
    <row r="404" spans="1:18" ht="46.8">
      <c r="A404" s="196" t="str">
        <f>HYPERLINK("http://sipi.sic.gov.co/sipi/View.ashx?4295540","SD2022/0078869")</f>
        <v>SD2022/0078869</v>
      </c>
      <c r="B404" s="8" t="s">
        <v>1014</v>
      </c>
      <c r="C404" s="57" t="s">
        <v>7</v>
      </c>
      <c r="D404" s="104" t="s">
        <v>8</v>
      </c>
      <c r="E404" s="67"/>
      <c r="F404" s="68"/>
      <c r="G404" s="66" t="s">
        <v>6</v>
      </c>
      <c r="H404" s="66"/>
      <c r="I404" s="122"/>
      <c r="J404" s="68"/>
      <c r="K404" s="66" t="s">
        <v>6</v>
      </c>
      <c r="L404" s="66"/>
      <c r="M404" s="143" t="s">
        <v>1848</v>
      </c>
      <c r="N404" s="144" t="s">
        <v>6</v>
      </c>
      <c r="O404" s="6" t="s">
        <v>19</v>
      </c>
      <c r="P404" s="5" t="s">
        <v>1003</v>
      </c>
      <c r="Q404" s="5" t="s">
        <v>0</v>
      </c>
      <c r="R404" s="7" t="s">
        <v>1004</v>
      </c>
    </row>
    <row r="405" spans="1:18" ht="115.2">
      <c r="A405" s="196" t="str">
        <f>HYPERLINK("http://sipi.sic.gov.co/sipi/View.ashx?4296022","SD2022/0078993")</f>
        <v>SD2022/0078993</v>
      </c>
      <c r="B405" s="8" t="s">
        <v>1015</v>
      </c>
      <c r="C405" s="57" t="s">
        <v>13</v>
      </c>
      <c r="D405" s="104" t="s">
        <v>17</v>
      </c>
      <c r="E405" s="67" t="s">
        <v>1016</v>
      </c>
      <c r="F405" s="68" t="s">
        <v>1773</v>
      </c>
      <c r="G405" s="66" t="s">
        <v>1848</v>
      </c>
      <c r="H405" s="66" t="s">
        <v>9</v>
      </c>
      <c r="I405" s="122"/>
      <c r="J405" s="68"/>
      <c r="K405" s="66" t="s">
        <v>6</v>
      </c>
      <c r="L405" s="66"/>
      <c r="M405" s="143" t="s">
        <v>1848</v>
      </c>
      <c r="N405" s="144" t="s">
        <v>6</v>
      </c>
      <c r="O405" s="6" t="s">
        <v>19</v>
      </c>
      <c r="P405" s="5" t="s">
        <v>1017</v>
      </c>
      <c r="Q405" s="5" t="s">
        <v>0</v>
      </c>
      <c r="R405" s="7" t="s">
        <v>1018</v>
      </c>
    </row>
    <row r="406" spans="1:18" ht="46.8">
      <c r="A406" s="196" t="str">
        <f>HYPERLINK("http://sipi.sic.gov.co/sipi/View.ashx?4296883","SD2022/0079179")</f>
        <v>SD2022/0079179</v>
      </c>
      <c r="B406" s="8" t="s">
        <v>1019</v>
      </c>
      <c r="C406" s="57" t="s">
        <v>7</v>
      </c>
      <c r="D406" s="104" t="s">
        <v>8</v>
      </c>
      <c r="E406" s="67"/>
      <c r="F406" s="68"/>
      <c r="G406" s="66" t="s">
        <v>6</v>
      </c>
      <c r="H406" s="66"/>
      <c r="I406" s="122"/>
      <c r="J406" s="68"/>
      <c r="K406" s="66" t="s">
        <v>6</v>
      </c>
      <c r="L406" s="66"/>
      <c r="M406" s="143" t="s">
        <v>1848</v>
      </c>
      <c r="N406" s="144" t="s">
        <v>6</v>
      </c>
      <c r="O406" s="6" t="s">
        <v>9</v>
      </c>
      <c r="P406" s="5" t="s">
        <v>1020</v>
      </c>
      <c r="Q406" s="5" t="s">
        <v>0</v>
      </c>
      <c r="R406" s="7" t="s">
        <v>990</v>
      </c>
    </row>
    <row r="407" spans="1:18" ht="100.8">
      <c r="A407" s="196" t="str">
        <f>HYPERLINK("http://sipi.sic.gov.co/sipi/View.ashx?4297296","SD2022/0079291")</f>
        <v>SD2022/0079291</v>
      </c>
      <c r="B407" s="8" t="s">
        <v>1021</v>
      </c>
      <c r="C407" s="57" t="s">
        <v>13</v>
      </c>
      <c r="D407" s="104" t="s">
        <v>8</v>
      </c>
      <c r="E407" s="67"/>
      <c r="F407" s="68"/>
      <c r="G407" s="66" t="s">
        <v>6</v>
      </c>
      <c r="H407" s="66"/>
      <c r="I407" s="122"/>
      <c r="J407" s="68"/>
      <c r="K407" s="66" t="s">
        <v>6</v>
      </c>
      <c r="L407" s="66"/>
      <c r="M407" s="143" t="s">
        <v>1848</v>
      </c>
      <c r="N407" s="144" t="s">
        <v>6</v>
      </c>
      <c r="O407" s="6" t="s">
        <v>19</v>
      </c>
      <c r="P407" s="5" t="s">
        <v>1022</v>
      </c>
      <c r="Q407" s="5" t="s">
        <v>743</v>
      </c>
      <c r="R407" s="7" t="s">
        <v>1023</v>
      </c>
    </row>
    <row r="408" spans="1:18" ht="129.6">
      <c r="A408" s="196" t="str">
        <f>HYPERLINK("http://sipi.sic.gov.co/sipi/View.ashx?4301330","SD2022/0080555")</f>
        <v>SD2022/0080555</v>
      </c>
      <c r="B408" s="8" t="s">
        <v>1024</v>
      </c>
      <c r="C408" s="57" t="s">
        <v>7</v>
      </c>
      <c r="D408" s="104" t="s">
        <v>8</v>
      </c>
      <c r="E408" s="67"/>
      <c r="F408" s="68"/>
      <c r="G408" s="66" t="s">
        <v>6</v>
      </c>
      <c r="H408" s="66"/>
      <c r="I408" s="122"/>
      <c r="J408" s="68"/>
      <c r="K408" s="66" t="s">
        <v>6</v>
      </c>
      <c r="L408" s="66"/>
      <c r="M408" s="143" t="s">
        <v>1848</v>
      </c>
      <c r="N408" s="144" t="s">
        <v>6</v>
      </c>
      <c r="O408" s="6" t="s">
        <v>19</v>
      </c>
      <c r="P408" s="5" t="s">
        <v>1025</v>
      </c>
      <c r="Q408" s="5" t="s">
        <v>0</v>
      </c>
      <c r="R408" s="7" t="s">
        <v>1026</v>
      </c>
    </row>
    <row r="409" spans="1:18" ht="62.4">
      <c r="A409" s="196" t="str">
        <f>HYPERLINK("http://sipi.sic.gov.co/sipi/View.ashx?4301920","SD2022/0083063")</f>
        <v>SD2022/0083063</v>
      </c>
      <c r="B409" s="8" t="s">
        <v>1027</v>
      </c>
      <c r="C409" s="57" t="s">
        <v>7</v>
      </c>
      <c r="D409" s="104" t="s">
        <v>8</v>
      </c>
      <c r="E409" s="67"/>
      <c r="F409" s="68"/>
      <c r="G409" s="66" t="s">
        <v>6</v>
      </c>
      <c r="H409" s="66"/>
      <c r="I409" s="122"/>
      <c r="J409" s="68"/>
      <c r="K409" s="66" t="s">
        <v>6</v>
      </c>
      <c r="L409" s="66"/>
      <c r="M409" s="143" t="s">
        <v>1848</v>
      </c>
      <c r="N409" s="144" t="s">
        <v>6</v>
      </c>
      <c r="O409" s="6" t="s">
        <v>19</v>
      </c>
      <c r="P409" s="5" t="s">
        <v>1028</v>
      </c>
      <c r="Q409" s="5" t="s">
        <v>0</v>
      </c>
      <c r="R409" s="7" t="s">
        <v>1029</v>
      </c>
    </row>
    <row r="410" spans="1:18" ht="31.2">
      <c r="A410" s="196" t="str">
        <f>HYPERLINK("http://sipi.sic.gov.co/sipi/View.ashx?4302998","SD2022/0080827")</f>
        <v>SD2022/0080827</v>
      </c>
      <c r="B410" s="8" t="s">
        <v>1030</v>
      </c>
      <c r="C410" s="57" t="s">
        <v>7</v>
      </c>
      <c r="D410" s="104" t="s">
        <v>8</v>
      </c>
      <c r="E410" s="67"/>
      <c r="F410" s="68"/>
      <c r="G410" s="66" t="s">
        <v>6</v>
      </c>
      <c r="H410" s="66"/>
      <c r="I410" s="122"/>
      <c r="J410" s="68"/>
      <c r="K410" s="66" t="s">
        <v>6</v>
      </c>
      <c r="L410" s="66"/>
      <c r="M410" s="143" t="s">
        <v>1848</v>
      </c>
      <c r="N410" s="144" t="s">
        <v>6</v>
      </c>
      <c r="O410" s="6" t="s">
        <v>19</v>
      </c>
      <c r="P410" s="5" t="s">
        <v>1031</v>
      </c>
      <c r="Q410" s="5" t="s">
        <v>0</v>
      </c>
      <c r="R410" s="7" t="s">
        <v>351</v>
      </c>
    </row>
    <row r="411" spans="1:18" ht="100.8">
      <c r="A411" s="196" t="str">
        <f>HYPERLINK("http://sipi.sic.gov.co/sipi/View.ashx?4303199","SD2022/0080857")</f>
        <v>SD2022/0080857</v>
      </c>
      <c r="B411" s="8" t="s">
        <v>1032</v>
      </c>
      <c r="C411" s="57" t="s">
        <v>7</v>
      </c>
      <c r="D411" s="104" t="s">
        <v>8</v>
      </c>
      <c r="E411" s="67"/>
      <c r="F411" s="68"/>
      <c r="G411" s="66" t="s">
        <v>6</v>
      </c>
      <c r="H411" s="66"/>
      <c r="I411" s="122"/>
      <c r="J411" s="68"/>
      <c r="K411" s="66" t="s">
        <v>6</v>
      </c>
      <c r="L411" s="66"/>
      <c r="M411" s="143" t="s">
        <v>1848</v>
      </c>
      <c r="N411" s="144" t="s">
        <v>6</v>
      </c>
      <c r="O411" s="6" t="s">
        <v>19</v>
      </c>
      <c r="P411" s="5" t="s">
        <v>1033</v>
      </c>
      <c r="Q411" s="5" t="s">
        <v>0</v>
      </c>
      <c r="R411" s="7" t="s">
        <v>1034</v>
      </c>
    </row>
    <row r="412" spans="1:18" ht="100.8">
      <c r="A412" s="196" t="str">
        <f>HYPERLINK("http://sipi.sic.gov.co/sipi/View.ashx?4303214","SD2022/0080862")</f>
        <v>SD2022/0080862</v>
      </c>
      <c r="B412" s="8" t="s">
        <v>1035</v>
      </c>
      <c r="C412" s="57" t="s">
        <v>7</v>
      </c>
      <c r="D412" s="104" t="s">
        <v>8</v>
      </c>
      <c r="E412" s="67"/>
      <c r="F412" s="68"/>
      <c r="G412" s="66" t="s">
        <v>6</v>
      </c>
      <c r="H412" s="66"/>
      <c r="I412" s="122"/>
      <c r="J412" s="68"/>
      <c r="K412" s="66" t="s">
        <v>6</v>
      </c>
      <c r="L412" s="66"/>
      <c r="M412" s="143" t="s">
        <v>1848</v>
      </c>
      <c r="N412" s="144" t="s">
        <v>6</v>
      </c>
      <c r="O412" s="6" t="s">
        <v>19</v>
      </c>
      <c r="P412" s="5" t="s">
        <v>1033</v>
      </c>
      <c r="Q412" s="5" t="s">
        <v>0</v>
      </c>
      <c r="R412" s="7" t="s">
        <v>1034</v>
      </c>
    </row>
    <row r="413" spans="1:18" ht="140.4">
      <c r="A413" s="196" t="str">
        <f>HYPERLINK("http://sipi.sic.gov.co/sipi/View.ashx?4308016","SD2022/0082384")</f>
        <v>SD2022/0082384</v>
      </c>
      <c r="B413" s="8" t="s">
        <v>1036</v>
      </c>
      <c r="C413" s="57" t="s">
        <v>13</v>
      </c>
      <c r="D413" s="104" t="s">
        <v>17</v>
      </c>
      <c r="E413" s="220" t="s">
        <v>1876</v>
      </c>
      <c r="F413" s="68" t="s">
        <v>1774</v>
      </c>
      <c r="G413" s="66" t="s">
        <v>1848</v>
      </c>
      <c r="H413" s="66" t="s">
        <v>9</v>
      </c>
      <c r="I413" s="122"/>
      <c r="J413" s="68"/>
      <c r="K413" s="66" t="s">
        <v>6</v>
      </c>
      <c r="L413" s="66"/>
      <c r="M413" s="143" t="s">
        <v>1848</v>
      </c>
      <c r="N413" s="144" t="s">
        <v>6</v>
      </c>
      <c r="O413" s="6" t="s">
        <v>9</v>
      </c>
      <c r="P413" s="5" t="s">
        <v>470</v>
      </c>
      <c r="Q413" s="5" t="s">
        <v>0</v>
      </c>
      <c r="R413" s="7" t="s">
        <v>1037</v>
      </c>
    </row>
    <row r="414" spans="1:18" ht="78">
      <c r="A414" s="196" t="str">
        <f>HYPERLINK("http://sipi.sic.gov.co/sipi/View.ashx?4310345","SD2022/0082613")</f>
        <v>SD2022/0082613</v>
      </c>
      <c r="B414" s="8" t="s">
        <v>1038</v>
      </c>
      <c r="C414" s="57" t="s">
        <v>13</v>
      </c>
      <c r="D414" s="104" t="s">
        <v>8</v>
      </c>
      <c r="E414" s="67"/>
      <c r="F414" s="68"/>
      <c r="G414" s="66" t="s">
        <v>6</v>
      </c>
      <c r="H414" s="66"/>
      <c r="I414" s="122"/>
      <c r="J414" s="68"/>
      <c r="K414" s="66" t="s">
        <v>6</v>
      </c>
      <c r="L414" s="66"/>
      <c r="M414" s="143" t="s">
        <v>1848</v>
      </c>
      <c r="N414" s="144" t="s">
        <v>6</v>
      </c>
      <c r="O414" s="6" t="s">
        <v>9</v>
      </c>
      <c r="P414" s="5" t="s">
        <v>1039</v>
      </c>
      <c r="Q414" s="5" t="s">
        <v>0</v>
      </c>
      <c r="R414" s="7" t="s">
        <v>1040</v>
      </c>
    </row>
    <row r="415" spans="1:18" ht="46.8">
      <c r="A415" s="196" t="str">
        <f>HYPERLINK("http://sipi.sic.gov.co/sipi/View.ashx?4311179","SD2022/0082746")</f>
        <v>SD2022/0082746</v>
      </c>
      <c r="B415" s="8" t="s">
        <v>1041</v>
      </c>
      <c r="C415" s="57" t="s">
        <v>7</v>
      </c>
      <c r="D415" s="104" t="s">
        <v>8</v>
      </c>
      <c r="E415" s="67"/>
      <c r="F415" s="68"/>
      <c r="G415" s="66" t="s">
        <v>6</v>
      </c>
      <c r="H415" s="66"/>
      <c r="I415" s="122"/>
      <c r="J415" s="68"/>
      <c r="K415" s="66" t="s">
        <v>6</v>
      </c>
      <c r="L415" s="66"/>
      <c r="M415" s="143" t="s">
        <v>1848</v>
      </c>
      <c r="N415" s="144" t="s">
        <v>6</v>
      </c>
      <c r="O415" s="6" t="s">
        <v>9</v>
      </c>
      <c r="P415" s="5" t="s">
        <v>1042</v>
      </c>
      <c r="Q415" s="5" t="s">
        <v>0</v>
      </c>
      <c r="R415" s="7" t="s">
        <v>312</v>
      </c>
    </row>
    <row r="416" spans="1:18" ht="409.6">
      <c r="A416" s="196" t="str">
        <f>HYPERLINK("http://sipi.sic.gov.co/sipi/View.ashx?4311612","SD2022/0082781")</f>
        <v>SD2022/0082781</v>
      </c>
      <c r="B416" s="8" t="s">
        <v>1043</v>
      </c>
      <c r="C416" s="57" t="s">
        <v>13</v>
      </c>
      <c r="D416" s="104" t="s">
        <v>8</v>
      </c>
      <c r="E416" s="67"/>
      <c r="F416" s="68"/>
      <c r="G416" s="66" t="s">
        <v>6</v>
      </c>
      <c r="H416" s="66"/>
      <c r="I416" s="122"/>
      <c r="J416" s="68"/>
      <c r="K416" s="66" t="s">
        <v>6</v>
      </c>
      <c r="L416" s="66"/>
      <c r="M416" s="143" t="s">
        <v>1848</v>
      </c>
      <c r="N416" s="144" t="s">
        <v>6</v>
      </c>
      <c r="O416" s="6" t="s">
        <v>9</v>
      </c>
      <c r="P416" s="5" t="s">
        <v>1044</v>
      </c>
      <c r="Q416" s="5" t="s">
        <v>58</v>
      </c>
      <c r="R416" s="7" t="s">
        <v>1045</v>
      </c>
    </row>
    <row r="417" spans="1:18" ht="78">
      <c r="A417" s="196" t="str">
        <f>HYPERLINK("http://sipi.sic.gov.co/sipi/View.ashx?4311657","SD2022/0082788")</f>
        <v>SD2022/0082788</v>
      </c>
      <c r="B417" s="8" t="s">
        <v>1046</v>
      </c>
      <c r="C417" s="57" t="s">
        <v>13</v>
      </c>
      <c r="D417" s="104" t="s">
        <v>17</v>
      </c>
      <c r="E417" s="67" t="s">
        <v>1047</v>
      </c>
      <c r="F417" s="68" t="s">
        <v>1775</v>
      </c>
      <c r="G417" s="66" t="s">
        <v>1848</v>
      </c>
      <c r="H417" s="66" t="s">
        <v>9</v>
      </c>
      <c r="I417" s="122" t="s">
        <v>1048</v>
      </c>
      <c r="J417" s="68" t="s">
        <v>1838</v>
      </c>
      <c r="K417" s="66" t="s">
        <v>1848</v>
      </c>
      <c r="L417" s="66" t="s">
        <v>9</v>
      </c>
      <c r="M417" s="143" t="s">
        <v>1848</v>
      </c>
      <c r="N417" s="144" t="s">
        <v>6</v>
      </c>
      <c r="O417" s="6" t="s">
        <v>19</v>
      </c>
      <c r="P417" s="5" t="s">
        <v>1049</v>
      </c>
      <c r="Q417" s="5" t="s">
        <v>0</v>
      </c>
      <c r="R417" s="7" t="s">
        <v>1050</v>
      </c>
    </row>
    <row r="418" spans="1:18" ht="100.8">
      <c r="A418" s="196" t="str">
        <f>HYPERLINK("http://sipi.sic.gov.co/sipi/View.ashx?4312141","SD2022/0085336")</f>
        <v>SD2022/0085336</v>
      </c>
      <c r="B418" s="8" t="s">
        <v>1051</v>
      </c>
      <c r="C418" s="57" t="s">
        <v>13</v>
      </c>
      <c r="D418" s="104" t="s">
        <v>8</v>
      </c>
      <c r="E418" s="67"/>
      <c r="F418" s="68"/>
      <c r="G418" s="66" t="s">
        <v>6</v>
      </c>
      <c r="H418" s="66"/>
      <c r="I418" s="122"/>
      <c r="J418" s="68"/>
      <c r="K418" s="66" t="s">
        <v>6</v>
      </c>
      <c r="L418" s="66"/>
      <c r="M418" s="143" t="s">
        <v>1848</v>
      </c>
      <c r="N418" s="144" t="s">
        <v>6</v>
      </c>
      <c r="O418" s="6" t="s">
        <v>19</v>
      </c>
      <c r="P418" s="5" t="s">
        <v>643</v>
      </c>
      <c r="Q418" s="5" t="s">
        <v>0</v>
      </c>
      <c r="R418" s="7" t="s">
        <v>644</v>
      </c>
    </row>
    <row r="419" spans="1:18" ht="62.4">
      <c r="A419" s="196" t="str">
        <f>HYPERLINK("http://sipi.sic.gov.co/sipi/View.ashx?4313020","SD2022/0083067")</f>
        <v>SD2022/0083067</v>
      </c>
      <c r="B419" s="8" t="s">
        <v>1052</v>
      </c>
      <c r="C419" s="57" t="s">
        <v>7</v>
      </c>
      <c r="D419" s="104" t="s">
        <v>17</v>
      </c>
      <c r="E419" s="67" t="s">
        <v>1053</v>
      </c>
      <c r="F419" s="68" t="s">
        <v>1776</v>
      </c>
      <c r="G419" s="66" t="s">
        <v>1848</v>
      </c>
      <c r="H419" s="66" t="s">
        <v>19</v>
      </c>
      <c r="I419" s="122"/>
      <c r="J419" s="68"/>
      <c r="K419" s="66" t="s">
        <v>6</v>
      </c>
      <c r="L419" s="66"/>
      <c r="M419" s="143" t="s">
        <v>1848</v>
      </c>
      <c r="N419" s="144" t="s">
        <v>6</v>
      </c>
      <c r="O419" s="6" t="s">
        <v>19</v>
      </c>
      <c r="P419" s="5" t="s">
        <v>1028</v>
      </c>
      <c r="Q419" s="5" t="s">
        <v>0</v>
      </c>
      <c r="R419" s="7" t="s">
        <v>1029</v>
      </c>
    </row>
    <row r="420" spans="1:18" ht="129.6">
      <c r="A420" s="196" t="str">
        <f>HYPERLINK("http://sipi.sic.gov.co/sipi/View.ashx?4315206","SD2022/0085049")</f>
        <v>SD2022/0085049</v>
      </c>
      <c r="B420" s="8" t="s">
        <v>1054</v>
      </c>
      <c r="C420" s="57" t="s">
        <v>13</v>
      </c>
      <c r="D420" s="104" t="s">
        <v>8</v>
      </c>
      <c r="E420" s="67"/>
      <c r="F420" s="68"/>
      <c r="G420" s="66" t="s">
        <v>6</v>
      </c>
      <c r="H420" s="66"/>
      <c r="I420" s="122"/>
      <c r="J420" s="68"/>
      <c r="K420" s="66" t="s">
        <v>6</v>
      </c>
      <c r="L420" s="66"/>
      <c r="M420" s="143" t="s">
        <v>1848</v>
      </c>
      <c r="N420" s="144" t="s">
        <v>6</v>
      </c>
      <c r="O420" s="6" t="s">
        <v>9</v>
      </c>
      <c r="P420" s="5" t="s">
        <v>1055</v>
      </c>
      <c r="Q420" s="5" t="s">
        <v>278</v>
      </c>
      <c r="R420" s="7" t="s">
        <v>1056</v>
      </c>
    </row>
    <row r="421" spans="1:18" ht="46.8">
      <c r="A421" s="196" t="str">
        <f>HYPERLINK("http://sipi.sic.gov.co/sipi/View.ashx?4318055","SD2022/0084684")</f>
        <v>SD2022/0084684</v>
      </c>
      <c r="B421" s="8" t="s">
        <v>1057</v>
      </c>
      <c r="C421" s="57" t="s">
        <v>7</v>
      </c>
      <c r="D421" s="104" t="s">
        <v>8</v>
      </c>
      <c r="E421" s="67"/>
      <c r="F421" s="68"/>
      <c r="G421" s="66" t="s">
        <v>6</v>
      </c>
      <c r="H421" s="66"/>
      <c r="I421" s="122"/>
      <c r="J421" s="68"/>
      <c r="K421" s="66" t="s">
        <v>6</v>
      </c>
      <c r="L421" s="66"/>
      <c r="M421" s="143" t="s">
        <v>1848</v>
      </c>
      <c r="N421" s="144" t="s">
        <v>6</v>
      </c>
      <c r="O421" s="6" t="s">
        <v>9</v>
      </c>
      <c r="P421" s="5" t="s">
        <v>659</v>
      </c>
      <c r="Q421" s="5" t="s">
        <v>0</v>
      </c>
      <c r="R421" s="7" t="s">
        <v>1058</v>
      </c>
    </row>
    <row r="422" spans="1:18" ht="46.8">
      <c r="A422" s="212" t="str">
        <f>HYPERLINK("http://sipi.sic.gov.co/sipi/View.ashx?4318070","SD2022/0084599")</f>
        <v>SD2022/0084599</v>
      </c>
      <c r="B422" s="30" t="s">
        <v>1059</v>
      </c>
      <c r="C422" s="63" t="s">
        <v>7</v>
      </c>
      <c r="D422" s="111" t="s">
        <v>17</v>
      </c>
      <c r="E422" s="90" t="s">
        <v>1060</v>
      </c>
      <c r="F422" s="91" t="s">
        <v>1827</v>
      </c>
      <c r="G422" s="66" t="s">
        <v>1848</v>
      </c>
      <c r="H422" s="89" t="s">
        <v>9</v>
      </c>
      <c r="I422" s="132"/>
      <c r="J422" s="91"/>
      <c r="K422" s="66" t="s">
        <v>6</v>
      </c>
      <c r="L422" s="89"/>
      <c r="M422" s="151" t="s">
        <v>1848</v>
      </c>
      <c r="N422" s="144" t="s">
        <v>6</v>
      </c>
      <c r="O422" s="32" t="s">
        <v>19</v>
      </c>
      <c r="P422" s="31" t="s">
        <v>1061</v>
      </c>
      <c r="Q422" s="31" t="s">
        <v>0</v>
      </c>
      <c r="R422" s="33" t="s">
        <v>1062</v>
      </c>
    </row>
    <row r="423" spans="1:18" ht="288">
      <c r="A423" s="196" t="str">
        <f>HYPERLINK("http://sipi.sic.gov.co/sipi/View.ashx?4318337","SD2022/0085274")</f>
        <v>SD2022/0085274</v>
      </c>
      <c r="B423" s="8" t="s">
        <v>1063</v>
      </c>
      <c r="C423" s="57" t="s">
        <v>7</v>
      </c>
      <c r="D423" s="104" t="s">
        <v>8</v>
      </c>
      <c r="E423" s="67"/>
      <c r="F423" s="68"/>
      <c r="G423" s="66" t="s">
        <v>6</v>
      </c>
      <c r="H423" s="66"/>
      <c r="I423" s="122"/>
      <c r="J423" s="68"/>
      <c r="K423" s="66" t="s">
        <v>6</v>
      </c>
      <c r="L423" s="66"/>
      <c r="M423" s="143" t="s">
        <v>1848</v>
      </c>
      <c r="N423" s="144" t="s">
        <v>6</v>
      </c>
      <c r="O423" s="6" t="s">
        <v>9</v>
      </c>
      <c r="P423" s="5" t="s">
        <v>1064</v>
      </c>
      <c r="Q423" s="5" t="s">
        <v>23</v>
      </c>
      <c r="R423" s="7" t="s">
        <v>1065</v>
      </c>
    </row>
    <row r="424" spans="1:18" ht="62.4">
      <c r="A424" s="196" t="str">
        <f>HYPERLINK("http://sipi.sic.gov.co/sipi/View.ashx?4320156","SD2022/0085036")</f>
        <v>SD2022/0085036</v>
      </c>
      <c r="B424" s="8" t="s">
        <v>1066</v>
      </c>
      <c r="C424" s="57" t="s">
        <v>13</v>
      </c>
      <c r="D424" s="104" t="s">
        <v>8</v>
      </c>
      <c r="E424" s="67"/>
      <c r="F424" s="68"/>
      <c r="G424" s="66" t="s">
        <v>6</v>
      </c>
      <c r="H424" s="66"/>
      <c r="I424" s="122"/>
      <c r="J424" s="68"/>
      <c r="K424" s="66" t="s">
        <v>6</v>
      </c>
      <c r="L424" s="66"/>
      <c r="M424" s="143" t="s">
        <v>1848</v>
      </c>
      <c r="N424" s="144" t="s">
        <v>6</v>
      </c>
      <c r="O424" s="6" t="s">
        <v>19</v>
      </c>
      <c r="P424" s="5" t="s">
        <v>1067</v>
      </c>
      <c r="Q424" s="5" t="s">
        <v>0</v>
      </c>
      <c r="R424" s="7" t="s">
        <v>52</v>
      </c>
    </row>
    <row r="425" spans="1:18" ht="129.6">
      <c r="A425" s="196" t="str">
        <f>HYPERLINK("http://sipi.sic.gov.co/sipi/View.ashx?4320177","SD2022/0085042")</f>
        <v>SD2022/0085042</v>
      </c>
      <c r="B425" s="8" t="s">
        <v>1068</v>
      </c>
      <c r="C425" s="57" t="s">
        <v>13</v>
      </c>
      <c r="D425" s="104" t="s">
        <v>8</v>
      </c>
      <c r="E425" s="67"/>
      <c r="F425" s="68"/>
      <c r="G425" s="66" t="s">
        <v>6</v>
      </c>
      <c r="H425" s="66"/>
      <c r="I425" s="122"/>
      <c r="J425" s="68"/>
      <c r="K425" s="66" t="s">
        <v>6</v>
      </c>
      <c r="L425" s="66"/>
      <c r="M425" s="143" t="s">
        <v>1848</v>
      </c>
      <c r="N425" s="144" t="s">
        <v>6</v>
      </c>
      <c r="O425" s="6" t="s">
        <v>9</v>
      </c>
      <c r="P425" s="5" t="s">
        <v>1055</v>
      </c>
      <c r="Q425" s="5" t="s">
        <v>278</v>
      </c>
      <c r="R425" s="7" t="s">
        <v>1056</v>
      </c>
    </row>
    <row r="426" spans="1:18" ht="62.4">
      <c r="A426" s="196" t="str">
        <f>HYPERLINK("http://sipi.sic.gov.co/sipi/View.ashx?4323811","SD2022/0085793")</f>
        <v>SD2022/0085793</v>
      </c>
      <c r="B426" s="8" t="s">
        <v>1069</v>
      </c>
      <c r="C426" s="57" t="s">
        <v>7</v>
      </c>
      <c r="D426" s="104" t="s">
        <v>8</v>
      </c>
      <c r="E426" s="67"/>
      <c r="F426" s="68"/>
      <c r="G426" s="66" t="s">
        <v>6</v>
      </c>
      <c r="H426" s="66"/>
      <c r="I426" s="122"/>
      <c r="J426" s="68"/>
      <c r="K426" s="66" t="s">
        <v>6</v>
      </c>
      <c r="L426" s="66"/>
      <c r="M426" s="143" t="s">
        <v>1848</v>
      </c>
      <c r="N426" s="144" t="s">
        <v>6</v>
      </c>
      <c r="O426" s="6" t="s">
        <v>19</v>
      </c>
      <c r="P426" s="5" t="s">
        <v>826</v>
      </c>
      <c r="Q426" s="5" t="s">
        <v>0</v>
      </c>
      <c r="R426" s="7" t="s">
        <v>827</v>
      </c>
    </row>
    <row r="427" spans="1:18" ht="115.2">
      <c r="A427" s="196" t="str">
        <f>HYPERLINK("http://sipi.sic.gov.co/sipi/View.ashx?4325596","SD2022/0086252")</f>
        <v>SD2022/0086252</v>
      </c>
      <c r="B427" s="8" t="s">
        <v>1070</v>
      </c>
      <c r="C427" s="57" t="s">
        <v>13</v>
      </c>
      <c r="D427" s="104" t="s">
        <v>8</v>
      </c>
      <c r="E427" s="67"/>
      <c r="F427" s="68"/>
      <c r="G427" s="66" t="s">
        <v>6</v>
      </c>
      <c r="H427" s="66"/>
      <c r="I427" s="122"/>
      <c r="J427" s="68"/>
      <c r="K427" s="66" t="s">
        <v>6</v>
      </c>
      <c r="L427" s="66"/>
      <c r="M427" s="143" t="s">
        <v>1848</v>
      </c>
      <c r="N427" s="144" t="s">
        <v>6</v>
      </c>
      <c r="O427" s="6" t="s">
        <v>9</v>
      </c>
      <c r="P427" s="5" t="s">
        <v>1071</v>
      </c>
      <c r="Q427" s="5" t="s">
        <v>23</v>
      </c>
      <c r="R427" s="7" t="s">
        <v>292</v>
      </c>
    </row>
    <row r="428" spans="1:18" ht="78">
      <c r="A428" s="196" t="str">
        <f>HYPERLINK("http://sipi.sic.gov.co/sipi/View.ashx?4325715","SD2022/0086279")</f>
        <v>SD2022/0086279</v>
      </c>
      <c r="B428" s="8" t="s">
        <v>1072</v>
      </c>
      <c r="C428" s="57" t="s">
        <v>13</v>
      </c>
      <c r="D428" s="104" t="s">
        <v>8</v>
      </c>
      <c r="E428" s="67"/>
      <c r="F428" s="68"/>
      <c r="G428" s="66" t="s">
        <v>6</v>
      </c>
      <c r="H428" s="66"/>
      <c r="I428" s="122"/>
      <c r="J428" s="68"/>
      <c r="K428" s="66" t="s">
        <v>6</v>
      </c>
      <c r="L428" s="66"/>
      <c r="M428" s="143" t="s">
        <v>1848</v>
      </c>
      <c r="N428" s="144" t="s">
        <v>6</v>
      </c>
      <c r="O428" s="6" t="s">
        <v>19</v>
      </c>
      <c r="P428" s="5" t="s">
        <v>1073</v>
      </c>
      <c r="Q428" s="5" t="s">
        <v>0</v>
      </c>
      <c r="R428" s="7" t="s">
        <v>1074</v>
      </c>
    </row>
    <row r="429" spans="1:18" ht="62.4">
      <c r="A429" s="196" t="str">
        <f>HYPERLINK("http://sipi.sic.gov.co/sipi/View.ashx?4327592","SD2022/0086768")</f>
        <v>SD2022/0086768</v>
      </c>
      <c r="B429" s="8" t="s">
        <v>1075</v>
      </c>
      <c r="C429" s="57" t="s">
        <v>7</v>
      </c>
      <c r="D429" s="104" t="s">
        <v>8</v>
      </c>
      <c r="E429" s="67"/>
      <c r="F429" s="68"/>
      <c r="G429" s="66" t="s">
        <v>6</v>
      </c>
      <c r="H429" s="66"/>
      <c r="I429" s="122"/>
      <c r="J429" s="68"/>
      <c r="K429" s="66" t="s">
        <v>6</v>
      </c>
      <c r="L429" s="66"/>
      <c r="M429" s="143" t="s">
        <v>1848</v>
      </c>
      <c r="N429" s="144" t="s">
        <v>6</v>
      </c>
      <c r="O429" s="6" t="s">
        <v>19</v>
      </c>
      <c r="P429" s="5" t="s">
        <v>826</v>
      </c>
      <c r="Q429" s="5" t="s">
        <v>0</v>
      </c>
      <c r="R429" s="7" t="s">
        <v>827</v>
      </c>
    </row>
    <row r="430" spans="1:18" ht="409.6">
      <c r="A430" s="196" t="str">
        <f>HYPERLINK("http://sipi.sic.gov.co/sipi/View.ashx?4328401","SD2022/0087123")</f>
        <v>SD2022/0087123</v>
      </c>
      <c r="B430" s="8" t="s">
        <v>1076</v>
      </c>
      <c r="C430" s="57" t="s">
        <v>13</v>
      </c>
      <c r="D430" s="104" t="s">
        <v>8</v>
      </c>
      <c r="E430" s="67"/>
      <c r="F430" s="68"/>
      <c r="G430" s="66" t="s">
        <v>6</v>
      </c>
      <c r="H430" s="66"/>
      <c r="I430" s="122"/>
      <c r="J430" s="68"/>
      <c r="K430" s="66" t="s">
        <v>6</v>
      </c>
      <c r="L430" s="66"/>
      <c r="M430" s="143" t="s">
        <v>1848</v>
      </c>
      <c r="N430" s="144" t="s">
        <v>6</v>
      </c>
      <c r="O430" s="6" t="s">
        <v>19</v>
      </c>
      <c r="P430" s="5" t="s">
        <v>1077</v>
      </c>
      <c r="Q430" s="5" t="s">
        <v>0</v>
      </c>
      <c r="R430" s="7" t="s">
        <v>1078</v>
      </c>
    </row>
    <row r="431" spans="1:18" ht="46.8">
      <c r="A431" s="196" t="str">
        <f>HYPERLINK("http://sipi.sic.gov.co/sipi/View.ashx?4329266","SD2022/0087237")</f>
        <v>SD2022/0087237</v>
      </c>
      <c r="B431" s="8" t="s">
        <v>1079</v>
      </c>
      <c r="C431" s="57" t="s">
        <v>7</v>
      </c>
      <c r="D431" s="104" t="s">
        <v>8</v>
      </c>
      <c r="E431" s="67"/>
      <c r="F431" s="68"/>
      <c r="G431" s="66" t="s">
        <v>6</v>
      </c>
      <c r="H431" s="66"/>
      <c r="I431" s="122"/>
      <c r="J431" s="68"/>
      <c r="K431" s="66" t="s">
        <v>6</v>
      </c>
      <c r="L431" s="66"/>
      <c r="M431" s="143" t="s">
        <v>1848</v>
      </c>
      <c r="N431" s="144" t="s">
        <v>6</v>
      </c>
      <c r="O431" s="6" t="s">
        <v>9</v>
      </c>
      <c r="P431" s="5" t="s">
        <v>1080</v>
      </c>
      <c r="Q431" s="5" t="s">
        <v>0</v>
      </c>
      <c r="R431" s="7" t="s">
        <v>1081</v>
      </c>
    </row>
    <row r="432" spans="1:18" ht="57.6">
      <c r="A432" s="196" t="str">
        <f>HYPERLINK("http://sipi.sic.gov.co/sipi/View.ashx?4329415","SD2022/0087271")</f>
        <v>SD2022/0087271</v>
      </c>
      <c r="B432" s="8" t="s">
        <v>1082</v>
      </c>
      <c r="C432" s="57" t="s">
        <v>13</v>
      </c>
      <c r="D432" s="104" t="s">
        <v>17</v>
      </c>
      <c r="E432" s="67" t="s">
        <v>1083</v>
      </c>
      <c r="F432" s="68" t="s">
        <v>1777</v>
      </c>
      <c r="G432" s="66" t="s">
        <v>1848</v>
      </c>
      <c r="H432" s="66" t="s">
        <v>9</v>
      </c>
      <c r="I432" s="122"/>
      <c r="J432" s="68"/>
      <c r="K432" s="66" t="s">
        <v>6</v>
      </c>
      <c r="L432" s="66"/>
      <c r="M432" s="143" t="s">
        <v>1848</v>
      </c>
      <c r="N432" s="144" t="s">
        <v>6</v>
      </c>
      <c r="O432" s="6" t="s">
        <v>9</v>
      </c>
      <c r="P432" s="5" t="s">
        <v>1084</v>
      </c>
      <c r="Q432" s="5" t="s">
        <v>0</v>
      </c>
      <c r="R432" s="7" t="s">
        <v>1085</v>
      </c>
    </row>
    <row r="433" spans="1:18" ht="46.8">
      <c r="A433" s="196" t="str">
        <f>HYPERLINK("http://sipi.sic.gov.co/sipi/View.ashx?4329595","SD2022/0087741")</f>
        <v>SD2022/0087741</v>
      </c>
      <c r="B433" s="8" t="s">
        <v>1086</v>
      </c>
      <c r="C433" s="57" t="s">
        <v>7</v>
      </c>
      <c r="D433" s="104" t="s">
        <v>17</v>
      </c>
      <c r="E433" s="67" t="s">
        <v>1087</v>
      </c>
      <c r="F433" s="68" t="s">
        <v>1778</v>
      </c>
      <c r="G433" s="66" t="s">
        <v>1848</v>
      </c>
      <c r="H433" s="66" t="s">
        <v>19</v>
      </c>
      <c r="I433" s="122"/>
      <c r="J433" s="68"/>
      <c r="K433" s="66" t="s">
        <v>6</v>
      </c>
      <c r="L433" s="66"/>
      <c r="M433" s="143" t="s">
        <v>1848</v>
      </c>
      <c r="N433" s="144" t="s">
        <v>6</v>
      </c>
      <c r="O433" s="6" t="s">
        <v>9</v>
      </c>
      <c r="P433" s="5" t="s">
        <v>1088</v>
      </c>
      <c r="Q433" s="5" t="s">
        <v>0</v>
      </c>
      <c r="R433" s="7" t="s">
        <v>505</v>
      </c>
    </row>
    <row r="434" spans="1:18" ht="31.2">
      <c r="A434" s="196" t="str">
        <f>HYPERLINK("http://sipi.sic.gov.co/sipi/View.ashx?4329683","SD2022/0087349")</f>
        <v>SD2022/0087349</v>
      </c>
      <c r="B434" s="8" t="s">
        <v>1089</v>
      </c>
      <c r="C434" s="57" t="s">
        <v>13</v>
      </c>
      <c r="D434" s="104" t="s">
        <v>8</v>
      </c>
      <c r="E434" s="67"/>
      <c r="F434" s="68"/>
      <c r="G434" s="66" t="s">
        <v>6</v>
      </c>
      <c r="H434" s="66"/>
      <c r="I434" s="122"/>
      <c r="J434" s="68"/>
      <c r="K434" s="66" t="s">
        <v>6</v>
      </c>
      <c r="L434" s="66"/>
      <c r="M434" s="143" t="s">
        <v>1848</v>
      </c>
      <c r="N434" s="144" t="s">
        <v>6</v>
      </c>
      <c r="O434" s="6" t="s">
        <v>9</v>
      </c>
      <c r="P434" s="5" t="s">
        <v>1084</v>
      </c>
      <c r="Q434" s="5" t="s">
        <v>0</v>
      </c>
      <c r="R434" s="7" t="s">
        <v>1090</v>
      </c>
    </row>
    <row r="435" spans="1:18" ht="46.8">
      <c r="A435" s="196" t="str">
        <f>HYPERLINK("http://sipi.sic.gov.co/sipi/View.ashx?4331240","SD2022/0087800")</f>
        <v>SD2022/0087800</v>
      </c>
      <c r="B435" s="8" t="s">
        <v>1091</v>
      </c>
      <c r="C435" s="57" t="s">
        <v>7</v>
      </c>
      <c r="D435" s="104" t="s">
        <v>8</v>
      </c>
      <c r="E435" s="67"/>
      <c r="F435" s="68"/>
      <c r="G435" s="66" t="s">
        <v>6</v>
      </c>
      <c r="H435" s="66"/>
      <c r="I435" s="122"/>
      <c r="J435" s="68"/>
      <c r="K435" s="66" t="s">
        <v>6</v>
      </c>
      <c r="L435" s="66"/>
      <c r="M435" s="143" t="s">
        <v>1848</v>
      </c>
      <c r="N435" s="144" t="s">
        <v>6</v>
      </c>
      <c r="O435" s="6" t="s">
        <v>9</v>
      </c>
      <c r="P435" s="5" t="s">
        <v>1092</v>
      </c>
      <c r="Q435" s="5" t="s">
        <v>0</v>
      </c>
      <c r="R435" s="7" t="s">
        <v>232</v>
      </c>
    </row>
    <row r="436" spans="1:18" ht="86.4">
      <c r="A436" s="196" t="str">
        <f>HYPERLINK("http://sipi.sic.gov.co/sipi/View.ashx?4331590","SD2022/0088019")</f>
        <v>SD2022/0088019</v>
      </c>
      <c r="B436" s="8" t="s">
        <v>1093</v>
      </c>
      <c r="C436" s="57" t="s">
        <v>7</v>
      </c>
      <c r="D436" s="104" t="s">
        <v>8</v>
      </c>
      <c r="E436" s="67"/>
      <c r="F436" s="68"/>
      <c r="G436" s="66" t="s">
        <v>6</v>
      </c>
      <c r="H436" s="66"/>
      <c r="I436" s="122"/>
      <c r="J436" s="68"/>
      <c r="K436" s="66" t="s">
        <v>6</v>
      </c>
      <c r="L436" s="66"/>
      <c r="M436" s="143" t="s">
        <v>1849</v>
      </c>
      <c r="N436" s="144" t="s">
        <v>6</v>
      </c>
      <c r="O436" s="6" t="s">
        <v>19</v>
      </c>
      <c r="P436" s="5" t="s">
        <v>1094</v>
      </c>
      <c r="Q436" s="5" t="s">
        <v>63</v>
      </c>
      <c r="R436" s="7" t="s">
        <v>1095</v>
      </c>
    </row>
    <row r="437" spans="1:18" ht="86.4">
      <c r="A437" s="196" t="str">
        <f>HYPERLINK("http://sipi.sic.gov.co/sipi/View.ashx?4331743","SD2022/0088035")</f>
        <v>SD2022/0088035</v>
      </c>
      <c r="B437" s="8" t="s">
        <v>1096</v>
      </c>
      <c r="C437" s="57" t="s">
        <v>7</v>
      </c>
      <c r="D437" s="104" t="s">
        <v>8</v>
      </c>
      <c r="E437" s="67"/>
      <c r="F437" s="68"/>
      <c r="G437" s="66" t="s">
        <v>6</v>
      </c>
      <c r="H437" s="66"/>
      <c r="I437" s="122"/>
      <c r="J437" s="68"/>
      <c r="K437" s="66" t="s">
        <v>6</v>
      </c>
      <c r="L437" s="66"/>
      <c r="M437" s="143" t="s">
        <v>1848</v>
      </c>
      <c r="N437" s="144" t="s">
        <v>6</v>
      </c>
      <c r="O437" s="6" t="s">
        <v>19</v>
      </c>
      <c r="P437" s="5" t="s">
        <v>1094</v>
      </c>
      <c r="Q437" s="5" t="s">
        <v>63</v>
      </c>
      <c r="R437" s="7" t="s">
        <v>1095</v>
      </c>
    </row>
    <row r="438" spans="1:18" ht="86.4">
      <c r="A438" s="196" t="str">
        <f>HYPERLINK("http://sipi.sic.gov.co/sipi/View.ashx?4331831","SD2022/0088069")</f>
        <v>SD2022/0088069</v>
      </c>
      <c r="B438" s="8" t="s">
        <v>1097</v>
      </c>
      <c r="C438" s="57" t="s">
        <v>7</v>
      </c>
      <c r="D438" s="104" t="s">
        <v>8</v>
      </c>
      <c r="E438" s="67"/>
      <c r="F438" s="68"/>
      <c r="G438" s="66" t="s">
        <v>6</v>
      </c>
      <c r="H438" s="66"/>
      <c r="I438" s="122"/>
      <c r="J438" s="68"/>
      <c r="K438" s="66" t="s">
        <v>6</v>
      </c>
      <c r="L438" s="66"/>
      <c r="M438" s="143" t="s">
        <v>1848</v>
      </c>
      <c r="N438" s="144" t="s">
        <v>6</v>
      </c>
      <c r="O438" s="6" t="s">
        <v>19</v>
      </c>
      <c r="P438" s="5" t="s">
        <v>1094</v>
      </c>
      <c r="Q438" s="5" t="s">
        <v>63</v>
      </c>
      <c r="R438" s="7" t="s">
        <v>1095</v>
      </c>
    </row>
    <row r="439" spans="1:18" ht="46.8">
      <c r="A439" s="213" t="str">
        <f>HYPERLINK("http://sipi.sic.gov.co/sipi/View.ashx?4335579","SD2022/0088652")</f>
        <v>SD2022/0088652</v>
      </c>
      <c r="B439" s="34" t="s">
        <v>1098</v>
      </c>
      <c r="C439" s="64" t="s">
        <v>7</v>
      </c>
      <c r="D439" s="112" t="s">
        <v>17</v>
      </c>
      <c r="E439" s="93" t="s">
        <v>1099</v>
      </c>
      <c r="F439" s="94" t="s">
        <v>1779</v>
      </c>
      <c r="G439" s="66" t="s">
        <v>1848</v>
      </c>
      <c r="H439" s="92" t="s">
        <v>19</v>
      </c>
      <c r="I439" s="133"/>
      <c r="J439" s="94"/>
      <c r="K439" s="66" t="s">
        <v>6</v>
      </c>
      <c r="L439" s="92"/>
      <c r="M439" s="152" t="s">
        <v>1848</v>
      </c>
      <c r="N439" s="144" t="s">
        <v>6</v>
      </c>
      <c r="O439" s="36" t="s">
        <v>9</v>
      </c>
      <c r="P439" s="35" t="s">
        <v>1100</v>
      </c>
      <c r="Q439" s="35" t="s">
        <v>0</v>
      </c>
      <c r="R439" s="37" t="s">
        <v>1101</v>
      </c>
    </row>
    <row r="440" spans="1:18" ht="72">
      <c r="A440" s="196" t="str">
        <f>HYPERLINK("http://sipi.sic.gov.co/sipi/View.ashx?4336634","SD2022/0088845")</f>
        <v>SD2022/0088845</v>
      </c>
      <c r="B440" s="8" t="s">
        <v>1102</v>
      </c>
      <c r="C440" s="57" t="s">
        <v>7</v>
      </c>
      <c r="D440" s="104" t="s">
        <v>8</v>
      </c>
      <c r="E440" s="67"/>
      <c r="F440" s="68"/>
      <c r="G440" s="66" t="s">
        <v>6</v>
      </c>
      <c r="H440" s="66"/>
      <c r="I440" s="122"/>
      <c r="J440" s="68"/>
      <c r="K440" s="66" t="s">
        <v>6</v>
      </c>
      <c r="L440" s="66"/>
      <c r="M440" s="143" t="s">
        <v>1848</v>
      </c>
      <c r="N440" s="144" t="s">
        <v>6</v>
      </c>
      <c r="O440" s="6" t="s">
        <v>19</v>
      </c>
      <c r="P440" s="5" t="s">
        <v>1103</v>
      </c>
      <c r="Q440" s="5" t="s">
        <v>0</v>
      </c>
      <c r="R440" s="7" t="s">
        <v>11</v>
      </c>
    </row>
    <row r="441" spans="1:18" ht="46.8">
      <c r="A441" s="196" t="str">
        <f>HYPERLINK("http://sipi.sic.gov.co/sipi/View.ashx?4337753","SD2022/0089143")</f>
        <v>SD2022/0089143</v>
      </c>
      <c r="B441" s="8" t="s">
        <v>1104</v>
      </c>
      <c r="C441" s="57" t="s">
        <v>13</v>
      </c>
      <c r="D441" s="104" t="s">
        <v>8</v>
      </c>
      <c r="E441" s="67"/>
      <c r="F441" s="68"/>
      <c r="G441" s="66" t="s">
        <v>6</v>
      </c>
      <c r="H441" s="66"/>
      <c r="I441" s="122"/>
      <c r="J441" s="68"/>
      <c r="K441" s="66" t="s">
        <v>6</v>
      </c>
      <c r="L441" s="66"/>
      <c r="M441" s="143" t="s">
        <v>1848</v>
      </c>
      <c r="N441" s="144" t="s">
        <v>6</v>
      </c>
      <c r="O441" s="6" t="s">
        <v>9</v>
      </c>
      <c r="P441" s="5" t="s">
        <v>1105</v>
      </c>
      <c r="Q441" s="5" t="s">
        <v>0</v>
      </c>
      <c r="R441" s="7" t="s">
        <v>1106</v>
      </c>
    </row>
    <row r="442" spans="1:18" ht="201.6">
      <c r="A442" s="196" t="str">
        <f>HYPERLINK("http://sipi.sic.gov.co/sipi/View.ashx?4339027","SD2022/0089426")</f>
        <v>SD2022/0089426</v>
      </c>
      <c r="B442" s="8" t="s">
        <v>1107</v>
      </c>
      <c r="C442" s="57" t="s">
        <v>7</v>
      </c>
      <c r="D442" s="104" t="s">
        <v>17</v>
      </c>
      <c r="E442" s="220" t="s">
        <v>1445</v>
      </c>
      <c r="F442" s="68" t="s">
        <v>1748</v>
      </c>
      <c r="G442" s="66" t="s">
        <v>1848</v>
      </c>
      <c r="H442" s="66" t="s">
        <v>9</v>
      </c>
      <c r="I442" s="122"/>
      <c r="J442" s="68"/>
      <c r="K442" s="66" t="s">
        <v>6</v>
      </c>
      <c r="L442" s="66"/>
      <c r="M442" s="143" t="s">
        <v>1848</v>
      </c>
      <c r="N442" s="144" t="s">
        <v>6</v>
      </c>
      <c r="O442" s="6" t="s">
        <v>19</v>
      </c>
      <c r="P442" s="5" t="s">
        <v>1108</v>
      </c>
      <c r="Q442" s="5" t="s">
        <v>0</v>
      </c>
      <c r="R442" s="7" t="s">
        <v>1109</v>
      </c>
    </row>
    <row r="443" spans="1:18" ht="115.2">
      <c r="A443" s="196" t="str">
        <f>HYPERLINK("http://sipi.sic.gov.co/sipi/View.ashx?4339567","SD2022/0090779")</f>
        <v>SD2022/0090779</v>
      </c>
      <c r="B443" s="8" t="s">
        <v>1110</v>
      </c>
      <c r="C443" s="57" t="s">
        <v>7</v>
      </c>
      <c r="D443" s="104" t="s">
        <v>17</v>
      </c>
      <c r="E443" s="67" t="s">
        <v>1111</v>
      </c>
      <c r="F443" s="68" t="s">
        <v>1780</v>
      </c>
      <c r="G443" s="66" t="s">
        <v>1848</v>
      </c>
      <c r="H443" s="66" t="s">
        <v>19</v>
      </c>
      <c r="I443" s="122"/>
      <c r="J443" s="68"/>
      <c r="K443" s="66" t="s">
        <v>6</v>
      </c>
      <c r="L443" s="66"/>
      <c r="M443" s="143" t="s">
        <v>1848</v>
      </c>
      <c r="N443" s="144" t="s">
        <v>6</v>
      </c>
      <c r="O443" s="6" t="s">
        <v>19</v>
      </c>
      <c r="P443" s="5" t="s">
        <v>1033</v>
      </c>
      <c r="Q443" s="5" t="s">
        <v>0</v>
      </c>
      <c r="R443" s="7" t="s">
        <v>1112</v>
      </c>
    </row>
    <row r="444" spans="1:18" ht="115.2">
      <c r="A444" s="196" t="str">
        <f>HYPERLINK("http://sipi.sic.gov.co/sipi/View.ashx?4339577","SD2022/0090802")</f>
        <v>SD2022/0090802</v>
      </c>
      <c r="B444" s="8" t="s">
        <v>1113</v>
      </c>
      <c r="C444" s="57" t="s">
        <v>7</v>
      </c>
      <c r="D444" s="104" t="s">
        <v>8</v>
      </c>
      <c r="E444" s="67"/>
      <c r="F444" s="68"/>
      <c r="G444" s="66" t="s">
        <v>6</v>
      </c>
      <c r="H444" s="66"/>
      <c r="I444" s="122"/>
      <c r="J444" s="68"/>
      <c r="K444" s="66" t="s">
        <v>6</v>
      </c>
      <c r="L444" s="66"/>
      <c r="M444" s="143" t="s">
        <v>1848</v>
      </c>
      <c r="N444" s="144" t="s">
        <v>6</v>
      </c>
      <c r="O444" s="6" t="s">
        <v>19</v>
      </c>
      <c r="P444" s="5" t="s">
        <v>1033</v>
      </c>
      <c r="Q444" s="5" t="s">
        <v>0</v>
      </c>
      <c r="R444" s="7" t="s">
        <v>1112</v>
      </c>
    </row>
    <row r="445" spans="1:18" ht="78">
      <c r="A445" s="196" t="str">
        <f>HYPERLINK("http://sipi.sic.gov.co/sipi/View.ashx?4340053","SD2022/0089652")</f>
        <v>SD2022/0089652</v>
      </c>
      <c r="B445" s="8" t="s">
        <v>1114</v>
      </c>
      <c r="C445" s="57" t="s">
        <v>7</v>
      </c>
      <c r="D445" s="104" t="s">
        <v>8</v>
      </c>
      <c r="E445" s="67"/>
      <c r="F445" s="68"/>
      <c r="G445" s="66" t="s">
        <v>6</v>
      </c>
      <c r="H445" s="66"/>
      <c r="I445" s="122"/>
      <c r="J445" s="68"/>
      <c r="K445" s="66" t="s">
        <v>6</v>
      </c>
      <c r="L445" s="66"/>
      <c r="M445" s="143" t="s">
        <v>1848</v>
      </c>
      <c r="N445" s="144" t="s">
        <v>6</v>
      </c>
      <c r="O445" s="6" t="s">
        <v>19</v>
      </c>
      <c r="P445" s="5" t="s">
        <v>1115</v>
      </c>
      <c r="Q445" s="5" t="s">
        <v>0</v>
      </c>
      <c r="R445" s="7" t="s">
        <v>1116</v>
      </c>
    </row>
    <row r="446" spans="1:18" ht="72">
      <c r="A446" s="196" t="str">
        <f>HYPERLINK("http://sipi.sic.gov.co/sipi/View.ashx?4341114","SD2022/0090078")</f>
        <v>SD2022/0090078</v>
      </c>
      <c r="B446" s="8" t="s">
        <v>1117</v>
      </c>
      <c r="C446" s="57" t="s">
        <v>13</v>
      </c>
      <c r="D446" s="104" t="s">
        <v>8</v>
      </c>
      <c r="E446" s="67"/>
      <c r="F446" s="68"/>
      <c r="G446" s="66" t="s">
        <v>6</v>
      </c>
      <c r="H446" s="66"/>
      <c r="I446" s="122"/>
      <c r="J446" s="68"/>
      <c r="K446" s="66" t="s">
        <v>6</v>
      </c>
      <c r="L446" s="66"/>
      <c r="M446" s="143" t="s">
        <v>1849</v>
      </c>
      <c r="N446" s="144" t="s">
        <v>6</v>
      </c>
      <c r="O446" s="6" t="s">
        <v>9</v>
      </c>
      <c r="P446" s="5" t="s">
        <v>468</v>
      </c>
      <c r="Q446" s="5" t="s">
        <v>0</v>
      </c>
      <c r="R446" s="7" t="s">
        <v>11</v>
      </c>
    </row>
    <row r="447" spans="1:18" ht="62.4">
      <c r="A447" s="196" t="str">
        <f>HYPERLINK("http://sipi.sic.gov.co/sipi/View.ashx?4341645","SD2022/0090225")</f>
        <v>SD2022/0090225</v>
      </c>
      <c r="B447" s="8" t="s">
        <v>1118</v>
      </c>
      <c r="C447" s="57" t="s">
        <v>7</v>
      </c>
      <c r="D447" s="104" t="s">
        <v>8</v>
      </c>
      <c r="E447" s="67"/>
      <c r="F447" s="68"/>
      <c r="G447" s="66" t="s">
        <v>6</v>
      </c>
      <c r="H447" s="66"/>
      <c r="I447" s="122"/>
      <c r="J447" s="68"/>
      <c r="K447" s="66" t="s">
        <v>6</v>
      </c>
      <c r="L447" s="66"/>
      <c r="M447" s="143" t="s">
        <v>1848</v>
      </c>
      <c r="N447" s="144" t="s">
        <v>6</v>
      </c>
      <c r="O447" s="6" t="s">
        <v>9</v>
      </c>
      <c r="P447" s="5" t="s">
        <v>685</v>
      </c>
      <c r="Q447" s="5" t="s">
        <v>0</v>
      </c>
      <c r="R447" s="7" t="s">
        <v>1119</v>
      </c>
    </row>
    <row r="448" spans="1:18" ht="144">
      <c r="A448" s="196" t="str">
        <f>HYPERLINK("http://sipi.sic.gov.co/sipi/View.ashx?4342520","SD2022/0090520")</f>
        <v>SD2022/0090520</v>
      </c>
      <c r="B448" s="8" t="s">
        <v>1120</v>
      </c>
      <c r="C448" s="57" t="s">
        <v>13</v>
      </c>
      <c r="D448" s="104" t="s">
        <v>17</v>
      </c>
      <c r="E448" s="67" t="s">
        <v>1121</v>
      </c>
      <c r="F448" s="68" t="s">
        <v>1828</v>
      </c>
      <c r="G448" s="66" t="s">
        <v>1848</v>
      </c>
      <c r="H448" s="66" t="s">
        <v>9</v>
      </c>
      <c r="I448" s="122"/>
      <c r="J448" s="68"/>
      <c r="K448" s="66" t="s">
        <v>6</v>
      </c>
      <c r="L448" s="66"/>
      <c r="M448" s="143" t="s">
        <v>1848</v>
      </c>
      <c r="N448" s="144" t="s">
        <v>6</v>
      </c>
      <c r="O448" s="6" t="s">
        <v>9</v>
      </c>
      <c r="P448" s="5" t="s">
        <v>1122</v>
      </c>
      <c r="Q448" s="5" t="s">
        <v>0</v>
      </c>
      <c r="R448" s="7" t="s">
        <v>1123</v>
      </c>
    </row>
    <row r="449" spans="1:18" ht="46.8">
      <c r="A449" s="196" t="str">
        <f>HYPERLINK("http://sipi.sic.gov.co/sipi/View.ashx?4342910","SD2022/0090570")</f>
        <v>SD2022/0090570</v>
      </c>
      <c r="B449" s="8" t="s">
        <v>1124</v>
      </c>
      <c r="C449" s="57" t="s">
        <v>7</v>
      </c>
      <c r="D449" s="104" t="s">
        <v>8</v>
      </c>
      <c r="E449" s="67"/>
      <c r="F449" s="68"/>
      <c r="G449" s="66" t="s">
        <v>6</v>
      </c>
      <c r="H449" s="66"/>
      <c r="I449" s="122"/>
      <c r="J449" s="68"/>
      <c r="K449" s="66" t="s">
        <v>6</v>
      </c>
      <c r="L449" s="66"/>
      <c r="M449" s="143" t="s">
        <v>1848</v>
      </c>
      <c r="N449" s="144" t="s">
        <v>6</v>
      </c>
      <c r="O449" s="6" t="s">
        <v>9</v>
      </c>
      <c r="P449" s="5" t="s">
        <v>1092</v>
      </c>
      <c r="Q449" s="5" t="s">
        <v>0</v>
      </c>
      <c r="R449" s="7" t="s">
        <v>232</v>
      </c>
    </row>
    <row r="450" spans="1:18" ht="115.2">
      <c r="A450" s="196" t="str">
        <f>HYPERLINK("http://sipi.sic.gov.co/sipi/View.ashx?4344462","SD2022/0090954")</f>
        <v>SD2022/0090954</v>
      </c>
      <c r="B450" s="8" t="s">
        <v>1125</v>
      </c>
      <c r="C450" s="57" t="s">
        <v>7</v>
      </c>
      <c r="D450" s="104" t="s">
        <v>8</v>
      </c>
      <c r="E450" s="67"/>
      <c r="F450" s="68"/>
      <c r="G450" s="66" t="s">
        <v>6</v>
      </c>
      <c r="H450" s="66"/>
      <c r="I450" s="122"/>
      <c r="J450" s="68"/>
      <c r="K450" s="66" t="s">
        <v>6</v>
      </c>
      <c r="L450" s="66"/>
      <c r="M450" s="143" t="s">
        <v>1848</v>
      </c>
      <c r="N450" s="144" t="s">
        <v>6</v>
      </c>
      <c r="O450" s="6" t="s">
        <v>9</v>
      </c>
      <c r="P450" s="5" t="s">
        <v>1126</v>
      </c>
      <c r="Q450" s="5" t="s">
        <v>23</v>
      </c>
      <c r="R450" s="7" t="s">
        <v>1127</v>
      </c>
    </row>
    <row r="451" spans="1:18" ht="31.2">
      <c r="A451" s="196" t="str">
        <f>HYPERLINK("http://sipi.sic.gov.co/sipi/View.ashx?4345364","SD2022/0093938")</f>
        <v>SD2022/0093938</v>
      </c>
      <c r="B451" s="8" t="s">
        <v>1128</v>
      </c>
      <c r="C451" s="57" t="s">
        <v>13</v>
      </c>
      <c r="D451" s="104" t="s">
        <v>8</v>
      </c>
      <c r="E451" s="67"/>
      <c r="F451" s="68"/>
      <c r="G451" s="66" t="s">
        <v>6</v>
      </c>
      <c r="H451" s="66"/>
      <c r="I451" s="122"/>
      <c r="J451" s="68"/>
      <c r="K451" s="66" t="s">
        <v>6</v>
      </c>
      <c r="L451" s="66"/>
      <c r="M451" s="143" t="s">
        <v>1848</v>
      </c>
      <c r="N451" s="144" t="s">
        <v>6</v>
      </c>
      <c r="O451" s="6" t="s">
        <v>9</v>
      </c>
      <c r="P451" s="5" t="s">
        <v>1129</v>
      </c>
      <c r="Q451" s="5" t="s">
        <v>0</v>
      </c>
      <c r="R451" s="7" t="s">
        <v>1130</v>
      </c>
    </row>
    <row r="452" spans="1:18" ht="31.2">
      <c r="A452" s="196" t="str">
        <f>HYPERLINK("http://sipi.sic.gov.co/sipi/View.ashx?4346127","SD2022/0091335")</f>
        <v>SD2022/0091335</v>
      </c>
      <c r="B452" s="8" t="s">
        <v>1131</v>
      </c>
      <c r="C452" s="57" t="s">
        <v>7</v>
      </c>
      <c r="D452" s="104" t="s">
        <v>8</v>
      </c>
      <c r="E452" s="67"/>
      <c r="F452" s="68"/>
      <c r="G452" s="66" t="s">
        <v>6</v>
      </c>
      <c r="H452" s="66"/>
      <c r="I452" s="122"/>
      <c r="J452" s="68"/>
      <c r="K452" s="66" t="s">
        <v>6</v>
      </c>
      <c r="L452" s="66"/>
      <c r="M452" s="143" t="s">
        <v>1848</v>
      </c>
      <c r="N452" s="144" t="s">
        <v>6</v>
      </c>
      <c r="O452" s="6" t="s">
        <v>19</v>
      </c>
      <c r="P452" s="5" t="s">
        <v>1132</v>
      </c>
      <c r="Q452" s="5" t="s">
        <v>0</v>
      </c>
      <c r="R452" s="7" t="s">
        <v>505</v>
      </c>
    </row>
    <row r="453" spans="1:18" ht="31.2">
      <c r="A453" s="196" t="str">
        <f>HYPERLINK("http://sipi.sic.gov.co/sipi/View.ashx?4346235","SD2022/0091359")</f>
        <v>SD2022/0091359</v>
      </c>
      <c r="B453" s="8" t="s">
        <v>1133</v>
      </c>
      <c r="C453" s="57" t="s">
        <v>7</v>
      </c>
      <c r="D453" s="104" t="s">
        <v>8</v>
      </c>
      <c r="E453" s="67"/>
      <c r="F453" s="68"/>
      <c r="G453" s="66" t="s">
        <v>6</v>
      </c>
      <c r="H453" s="66"/>
      <c r="I453" s="122"/>
      <c r="J453" s="68"/>
      <c r="K453" s="66" t="s">
        <v>6</v>
      </c>
      <c r="L453" s="66"/>
      <c r="M453" s="143" t="s">
        <v>1848</v>
      </c>
      <c r="N453" s="144" t="s">
        <v>6</v>
      </c>
      <c r="O453" s="6" t="s">
        <v>19</v>
      </c>
      <c r="P453" s="5" t="s">
        <v>1132</v>
      </c>
      <c r="Q453" s="5" t="s">
        <v>0</v>
      </c>
      <c r="R453" s="7" t="s">
        <v>505</v>
      </c>
    </row>
    <row r="454" spans="1:18" ht="31.2">
      <c r="A454" s="196" t="str">
        <f>HYPERLINK("http://sipi.sic.gov.co/sipi/View.ashx?4346244","SD2022/0091361")</f>
        <v>SD2022/0091361</v>
      </c>
      <c r="B454" s="8" t="s">
        <v>1134</v>
      </c>
      <c r="C454" s="57" t="s">
        <v>7</v>
      </c>
      <c r="D454" s="104" t="s">
        <v>8</v>
      </c>
      <c r="E454" s="67"/>
      <c r="F454" s="68"/>
      <c r="G454" s="66" t="s">
        <v>6</v>
      </c>
      <c r="H454" s="66"/>
      <c r="I454" s="122"/>
      <c r="J454" s="68"/>
      <c r="K454" s="66" t="s">
        <v>6</v>
      </c>
      <c r="L454" s="66"/>
      <c r="M454" s="143" t="s">
        <v>1848</v>
      </c>
      <c r="N454" s="144" t="s">
        <v>6</v>
      </c>
      <c r="O454" s="6" t="s">
        <v>19</v>
      </c>
      <c r="P454" s="5" t="s">
        <v>1132</v>
      </c>
      <c r="Q454" s="5" t="s">
        <v>0</v>
      </c>
      <c r="R454" s="7" t="s">
        <v>505</v>
      </c>
    </row>
    <row r="455" spans="1:18" ht="259.2">
      <c r="A455" s="196" t="str">
        <f>HYPERLINK("http://sipi.sic.gov.co/sipi/View.ashx?4347141","SD2022/0092108")</f>
        <v>SD2022/0092108</v>
      </c>
      <c r="B455" s="8" t="s">
        <v>1135</v>
      </c>
      <c r="C455" s="57" t="s">
        <v>13</v>
      </c>
      <c r="D455" s="104" t="s">
        <v>8</v>
      </c>
      <c r="E455" s="67"/>
      <c r="F455" s="68"/>
      <c r="G455" s="66" t="s">
        <v>6</v>
      </c>
      <c r="H455" s="66"/>
      <c r="I455" s="122"/>
      <c r="J455" s="68"/>
      <c r="K455" s="66" t="s">
        <v>6</v>
      </c>
      <c r="L455" s="66"/>
      <c r="M455" s="143" t="s">
        <v>1848</v>
      </c>
      <c r="N455" s="144" t="s">
        <v>6</v>
      </c>
      <c r="O455" s="6" t="s">
        <v>9</v>
      </c>
      <c r="P455" s="5" t="s">
        <v>1136</v>
      </c>
      <c r="Q455" s="5" t="s">
        <v>1137</v>
      </c>
      <c r="R455" s="7" t="s">
        <v>1138</v>
      </c>
    </row>
    <row r="456" spans="1:18" ht="144">
      <c r="A456" s="196" t="str">
        <f>HYPERLINK("http://sipi.sic.gov.co/sipi/View.ashx?4349880","SD2022/0092231")</f>
        <v>SD2022/0092231</v>
      </c>
      <c r="B456" s="8" t="s">
        <v>1139</v>
      </c>
      <c r="C456" s="57" t="s">
        <v>13</v>
      </c>
      <c r="D456" s="104" t="s">
        <v>8</v>
      </c>
      <c r="E456" s="67"/>
      <c r="F456" s="68"/>
      <c r="G456" s="66" t="s">
        <v>6</v>
      </c>
      <c r="H456" s="66"/>
      <c r="I456" s="122"/>
      <c r="J456" s="68"/>
      <c r="K456" s="66" t="s">
        <v>6</v>
      </c>
      <c r="L456" s="66"/>
      <c r="M456" s="143" t="s">
        <v>1848</v>
      </c>
      <c r="N456" s="144" t="s">
        <v>6</v>
      </c>
      <c r="O456" s="6" t="s">
        <v>9</v>
      </c>
      <c r="P456" s="5" t="s">
        <v>1140</v>
      </c>
      <c r="Q456" s="5" t="s">
        <v>0</v>
      </c>
      <c r="R456" s="7" t="s">
        <v>1141</v>
      </c>
    </row>
    <row r="457" spans="1:18" ht="302.39999999999998">
      <c r="A457" s="196" t="str">
        <f>HYPERLINK("http://sipi.sic.gov.co/sipi/View.ashx?4350500","SD2022/0092376")</f>
        <v>SD2022/0092376</v>
      </c>
      <c r="B457" s="8" t="s">
        <v>1142</v>
      </c>
      <c r="C457" s="57" t="s">
        <v>13</v>
      </c>
      <c r="D457" s="104" t="s">
        <v>17</v>
      </c>
      <c r="E457" s="67" t="s">
        <v>1143</v>
      </c>
      <c r="F457" s="68" t="s">
        <v>1781</v>
      </c>
      <c r="G457" s="66" t="s">
        <v>1848</v>
      </c>
      <c r="H457" s="66" t="s">
        <v>19</v>
      </c>
      <c r="I457" s="122"/>
      <c r="J457" s="68"/>
      <c r="K457" s="66" t="s">
        <v>6</v>
      </c>
      <c r="L457" s="66"/>
      <c r="M457" s="143" t="s">
        <v>1848</v>
      </c>
      <c r="N457" s="144" t="s">
        <v>6</v>
      </c>
      <c r="O457" s="6" t="s">
        <v>9</v>
      </c>
      <c r="P457" s="5" t="s">
        <v>1144</v>
      </c>
      <c r="Q457" s="5" t="s">
        <v>0</v>
      </c>
      <c r="R457" s="7" t="s">
        <v>1145</v>
      </c>
    </row>
    <row r="458" spans="1:18" ht="273.60000000000002">
      <c r="A458" s="196" t="str">
        <f>HYPERLINK("http://sipi.sic.gov.co/sipi/View.ashx?4351501","SD2022/0092667")</f>
        <v>SD2022/0092667</v>
      </c>
      <c r="B458" s="8" t="s">
        <v>1146</v>
      </c>
      <c r="C458" s="57" t="s">
        <v>13</v>
      </c>
      <c r="D458" s="104" t="s">
        <v>8</v>
      </c>
      <c r="E458" s="67"/>
      <c r="F458" s="68"/>
      <c r="G458" s="66" t="s">
        <v>6</v>
      </c>
      <c r="H458" s="66"/>
      <c r="I458" s="122"/>
      <c r="J458" s="68"/>
      <c r="K458" s="66" t="s">
        <v>6</v>
      </c>
      <c r="L458" s="66"/>
      <c r="M458" s="143" t="s">
        <v>1848</v>
      </c>
      <c r="N458" s="144" t="s">
        <v>6</v>
      </c>
      <c r="O458" s="6" t="s">
        <v>19</v>
      </c>
      <c r="P458" s="5" t="s">
        <v>519</v>
      </c>
      <c r="Q458" s="5" t="s">
        <v>0</v>
      </c>
      <c r="R458" s="7" t="s">
        <v>1147</v>
      </c>
    </row>
    <row r="459" spans="1:18" ht="62.4">
      <c r="A459" s="196" t="str">
        <f>HYPERLINK("http://sipi.sic.gov.co/sipi/View.ashx?4351895","SD2022/0092814")</f>
        <v>SD2022/0092814</v>
      </c>
      <c r="B459" s="8" t="s">
        <v>1148</v>
      </c>
      <c r="C459" s="57" t="s">
        <v>13</v>
      </c>
      <c r="D459" s="104" t="s">
        <v>8</v>
      </c>
      <c r="E459" s="67"/>
      <c r="F459" s="68"/>
      <c r="G459" s="66" t="s">
        <v>6</v>
      </c>
      <c r="H459" s="66"/>
      <c r="I459" s="122"/>
      <c r="J459" s="68"/>
      <c r="K459" s="66" t="s">
        <v>6</v>
      </c>
      <c r="L459" s="66"/>
      <c r="M459" s="143" t="s">
        <v>1848</v>
      </c>
      <c r="N459" s="144" t="s">
        <v>6</v>
      </c>
      <c r="O459" s="6" t="s">
        <v>19</v>
      </c>
      <c r="P459" s="5" t="s">
        <v>1149</v>
      </c>
      <c r="Q459" s="5" t="s">
        <v>0</v>
      </c>
      <c r="R459" s="7" t="s">
        <v>1150</v>
      </c>
    </row>
    <row r="460" spans="1:18" ht="31.2">
      <c r="A460" s="196" t="str">
        <f>HYPERLINK("http://sipi.sic.gov.co/sipi/View.ashx?4352905","SD2022/0093060")</f>
        <v>SD2022/0093060</v>
      </c>
      <c r="B460" s="8" t="s">
        <v>1151</v>
      </c>
      <c r="C460" s="57" t="s">
        <v>7</v>
      </c>
      <c r="D460" s="104" t="s">
        <v>8</v>
      </c>
      <c r="E460" s="67"/>
      <c r="F460" s="68"/>
      <c r="G460" s="66" t="s">
        <v>6</v>
      </c>
      <c r="H460" s="66"/>
      <c r="I460" s="122"/>
      <c r="J460" s="68"/>
      <c r="K460" s="66" t="s">
        <v>6</v>
      </c>
      <c r="L460" s="66"/>
      <c r="M460" s="143" t="s">
        <v>1848</v>
      </c>
      <c r="N460" s="144" t="s">
        <v>6</v>
      </c>
      <c r="O460" s="6" t="s">
        <v>9</v>
      </c>
      <c r="P460" s="5" t="s">
        <v>957</v>
      </c>
      <c r="Q460" s="5" t="s">
        <v>0</v>
      </c>
      <c r="R460" s="7" t="s">
        <v>1152</v>
      </c>
    </row>
    <row r="461" spans="1:18" ht="72">
      <c r="A461" s="196" t="str">
        <f>HYPERLINK("http://sipi.sic.gov.co/sipi/View.ashx?4353408","SD2022/0093164")</f>
        <v>SD2022/0093164</v>
      </c>
      <c r="B461" s="8" t="s">
        <v>1153</v>
      </c>
      <c r="C461" s="57" t="s">
        <v>13</v>
      </c>
      <c r="D461" s="104" t="s">
        <v>8</v>
      </c>
      <c r="E461" s="67"/>
      <c r="F461" s="68"/>
      <c r="G461" s="66" t="s">
        <v>6</v>
      </c>
      <c r="H461" s="66"/>
      <c r="I461" s="122"/>
      <c r="J461" s="68"/>
      <c r="K461" s="66" t="s">
        <v>6</v>
      </c>
      <c r="L461" s="66"/>
      <c r="M461" s="143" t="s">
        <v>1848</v>
      </c>
      <c r="N461" s="144" t="s">
        <v>6</v>
      </c>
      <c r="O461" s="6" t="s">
        <v>19</v>
      </c>
      <c r="P461" s="5" t="s">
        <v>1154</v>
      </c>
      <c r="Q461" s="5" t="s">
        <v>0</v>
      </c>
      <c r="R461" s="7" t="s">
        <v>11</v>
      </c>
    </row>
    <row r="462" spans="1:18" ht="100.8">
      <c r="A462" s="196" t="str">
        <f>HYPERLINK("http://sipi.sic.gov.co/sipi/View.ashx?4353545","SD2022/0093178")</f>
        <v>SD2022/0093178</v>
      </c>
      <c r="B462" s="8" t="s">
        <v>1155</v>
      </c>
      <c r="C462" s="57" t="s">
        <v>13</v>
      </c>
      <c r="D462" s="105" t="s">
        <v>8</v>
      </c>
      <c r="E462" s="67"/>
      <c r="F462" s="68"/>
      <c r="G462" s="66"/>
      <c r="H462" s="66"/>
      <c r="I462" s="122"/>
      <c r="J462" s="68"/>
      <c r="K462" s="66" t="s">
        <v>6</v>
      </c>
      <c r="L462" s="66"/>
      <c r="M462" s="143" t="s">
        <v>1848</v>
      </c>
      <c r="N462" s="144" t="s">
        <v>6</v>
      </c>
      <c r="O462" s="6" t="s">
        <v>9</v>
      </c>
      <c r="P462" s="5" t="s">
        <v>1156</v>
      </c>
      <c r="Q462" s="5" t="s">
        <v>0</v>
      </c>
      <c r="R462" s="7" t="s">
        <v>1157</v>
      </c>
    </row>
    <row r="463" spans="1:18" ht="15.6">
      <c r="A463" s="209" t="str">
        <f>HYPERLINK("http://sipi.sic.gov.co/sipi/View.ashx?4353940","SD2022/0093284")</f>
        <v>SD2022/0093284</v>
      </c>
      <c r="B463" s="188" t="s">
        <v>1158</v>
      </c>
      <c r="C463" s="189" t="s">
        <v>7</v>
      </c>
      <c r="D463" s="190" t="s">
        <v>17</v>
      </c>
      <c r="E463" s="191" t="s">
        <v>1159</v>
      </c>
      <c r="F463" s="191" t="s">
        <v>1782</v>
      </c>
      <c r="G463" s="66" t="s">
        <v>1855</v>
      </c>
      <c r="H463" s="86" t="s">
        <v>9</v>
      </c>
      <c r="I463" s="122"/>
      <c r="J463" s="68"/>
      <c r="K463" s="66"/>
      <c r="L463" s="66"/>
      <c r="M463" s="143" t="s">
        <v>6</v>
      </c>
      <c r="N463" s="144" t="s">
        <v>6</v>
      </c>
      <c r="O463" s="6"/>
      <c r="P463" s="5"/>
      <c r="Q463" s="5"/>
      <c r="R463" s="7"/>
    </row>
    <row r="464" spans="1:18" ht="31.2">
      <c r="A464" s="211"/>
      <c r="B464" s="188" t="s">
        <v>1158</v>
      </c>
      <c r="C464" s="189" t="s">
        <v>7</v>
      </c>
      <c r="D464" s="190" t="s">
        <v>17</v>
      </c>
      <c r="E464" s="191" t="s">
        <v>1159</v>
      </c>
      <c r="F464" s="191" t="s">
        <v>1782</v>
      </c>
      <c r="G464" s="66" t="s">
        <v>1848</v>
      </c>
      <c r="H464" s="86" t="s">
        <v>9</v>
      </c>
      <c r="I464" s="131"/>
      <c r="J464" s="88"/>
      <c r="M464" s="150" t="s">
        <v>1848</v>
      </c>
      <c r="N464" s="144" t="s">
        <v>1855</v>
      </c>
      <c r="O464" s="28" t="s">
        <v>9</v>
      </c>
      <c r="P464" s="27" t="s">
        <v>1160</v>
      </c>
      <c r="Q464" s="27" t="s">
        <v>0</v>
      </c>
      <c r="R464" s="29" t="s">
        <v>232</v>
      </c>
    </row>
    <row r="465" spans="1:18" ht="62.4">
      <c r="A465" s="196" t="str">
        <f>HYPERLINK("http://sipi.sic.gov.co/sipi/View.ashx?4359029","SD2022/0094325")</f>
        <v>SD2022/0094325</v>
      </c>
      <c r="B465" s="8" t="s">
        <v>1161</v>
      </c>
      <c r="C465" s="57" t="s">
        <v>7</v>
      </c>
      <c r="D465" s="104" t="s">
        <v>8</v>
      </c>
      <c r="E465" s="67"/>
      <c r="F465" s="68"/>
      <c r="G465" s="66" t="s">
        <v>6</v>
      </c>
      <c r="H465" s="66"/>
      <c r="I465" s="122"/>
      <c r="J465" s="68"/>
      <c r="K465" s="66" t="s">
        <v>6</v>
      </c>
      <c r="L465" s="66"/>
      <c r="M465" s="143" t="s">
        <v>1848</v>
      </c>
      <c r="N465" s="144" t="s">
        <v>6</v>
      </c>
      <c r="O465" s="6" t="s">
        <v>9</v>
      </c>
      <c r="P465" s="5" t="s">
        <v>252</v>
      </c>
      <c r="Q465" s="5" t="s">
        <v>0</v>
      </c>
      <c r="R465" s="7" t="s">
        <v>1162</v>
      </c>
    </row>
    <row r="466" spans="1:18" ht="46.8">
      <c r="A466" s="196" t="str">
        <f>HYPERLINK("http://sipi.sic.gov.co/sipi/View.ashx?4359478","SD2022/0094426")</f>
        <v>SD2022/0094426</v>
      </c>
      <c r="B466" s="8" t="s">
        <v>1163</v>
      </c>
      <c r="C466" s="57" t="s">
        <v>13</v>
      </c>
      <c r="D466" s="104" t="s">
        <v>8</v>
      </c>
      <c r="E466" s="67"/>
      <c r="F466" s="68"/>
      <c r="G466" s="66" t="s">
        <v>6</v>
      </c>
      <c r="H466" s="66"/>
      <c r="I466" s="122"/>
      <c r="J466" s="68"/>
      <c r="K466" s="66" t="s">
        <v>6</v>
      </c>
      <c r="L466" s="66"/>
      <c r="M466" s="143" t="s">
        <v>1848</v>
      </c>
      <c r="N466" s="144" t="s">
        <v>6</v>
      </c>
      <c r="O466" s="6" t="s">
        <v>19</v>
      </c>
      <c r="P466" s="5" t="s">
        <v>1164</v>
      </c>
      <c r="Q466" s="5" t="s">
        <v>0</v>
      </c>
      <c r="R466" s="7" t="s">
        <v>232</v>
      </c>
    </row>
    <row r="467" spans="1:18" ht="62.4">
      <c r="A467" s="196" t="str">
        <f>HYPERLINK("http://sipi.sic.gov.co/sipi/View.ashx?4360111","SD2022/0094515")</f>
        <v>SD2022/0094515</v>
      </c>
      <c r="B467" s="8" t="s">
        <v>1165</v>
      </c>
      <c r="C467" s="57" t="s">
        <v>7</v>
      </c>
      <c r="D467" s="104" t="s">
        <v>8</v>
      </c>
      <c r="E467" s="67"/>
      <c r="F467" s="68"/>
      <c r="G467" s="66" t="s">
        <v>6</v>
      </c>
      <c r="H467" s="66"/>
      <c r="I467" s="122"/>
      <c r="J467" s="68"/>
      <c r="K467" s="66" t="s">
        <v>6</v>
      </c>
      <c r="L467" s="66"/>
      <c r="M467" s="143" t="s">
        <v>1849</v>
      </c>
      <c r="N467" s="144" t="s">
        <v>6</v>
      </c>
      <c r="O467" s="6" t="s">
        <v>9</v>
      </c>
      <c r="P467" s="5" t="s">
        <v>1166</v>
      </c>
      <c r="Q467" s="5" t="s">
        <v>0</v>
      </c>
      <c r="R467" s="7" t="s">
        <v>1167</v>
      </c>
    </row>
    <row r="468" spans="1:18" ht="46.8">
      <c r="A468" s="196" t="str">
        <f>HYPERLINK("http://sipi.sic.gov.co/sipi/View.ashx?4364912","SD2022/0095770")</f>
        <v>SD2022/0095770</v>
      </c>
      <c r="B468" s="8" t="s">
        <v>1168</v>
      </c>
      <c r="C468" s="57" t="s">
        <v>13</v>
      </c>
      <c r="D468" s="104" t="s">
        <v>8</v>
      </c>
      <c r="E468" s="67"/>
      <c r="F468" s="68"/>
      <c r="G468" s="66" t="s">
        <v>6</v>
      </c>
      <c r="H468" s="66"/>
      <c r="I468" s="122"/>
      <c r="J468" s="68"/>
      <c r="K468" s="66" t="s">
        <v>6</v>
      </c>
      <c r="L468" s="66"/>
      <c r="M468" s="143" t="s">
        <v>1848</v>
      </c>
      <c r="N468" s="144" t="s">
        <v>6</v>
      </c>
      <c r="O468" s="6" t="s">
        <v>9</v>
      </c>
      <c r="P468" s="5" t="s">
        <v>1169</v>
      </c>
      <c r="Q468" s="5" t="s">
        <v>0</v>
      </c>
      <c r="R468" s="7" t="s">
        <v>1170</v>
      </c>
    </row>
    <row r="469" spans="1:18" ht="115.2">
      <c r="A469" s="196" t="str">
        <f>HYPERLINK("http://sipi.sic.gov.co/sipi/View.ashx?4366594","SD2022/0096329")</f>
        <v>SD2022/0096329</v>
      </c>
      <c r="B469" s="8" t="s">
        <v>1171</v>
      </c>
      <c r="C469" s="57" t="s">
        <v>13</v>
      </c>
      <c r="D469" s="104" t="s">
        <v>8</v>
      </c>
      <c r="E469" s="67"/>
      <c r="F469" s="68"/>
      <c r="G469" s="66" t="s">
        <v>6</v>
      </c>
      <c r="H469" s="66"/>
      <c r="I469" s="122"/>
      <c r="J469" s="68"/>
      <c r="K469" s="66" t="s">
        <v>6</v>
      </c>
      <c r="L469" s="66"/>
      <c r="M469" s="143" t="s">
        <v>1848</v>
      </c>
      <c r="N469" s="144" t="s">
        <v>6</v>
      </c>
      <c r="O469" s="6" t="s">
        <v>9</v>
      </c>
      <c r="P469" s="5" t="s">
        <v>79</v>
      </c>
      <c r="Q469" s="5" t="s">
        <v>23</v>
      </c>
      <c r="R469" s="7" t="s">
        <v>1172</v>
      </c>
    </row>
    <row r="470" spans="1:18" ht="115.2">
      <c r="A470" s="196" t="str">
        <f>HYPERLINK("http://sipi.sic.gov.co/sipi/View.ashx?4368895","SD2022/0096500")</f>
        <v>SD2022/0096500</v>
      </c>
      <c r="B470" s="8" t="s">
        <v>1173</v>
      </c>
      <c r="C470" s="57" t="s">
        <v>7</v>
      </c>
      <c r="D470" s="104" t="s">
        <v>17</v>
      </c>
      <c r="E470" s="95" t="s">
        <v>1174</v>
      </c>
      <c r="F470" s="96" t="s">
        <v>1783</v>
      </c>
      <c r="G470" s="66" t="s">
        <v>1848</v>
      </c>
      <c r="H470" s="66" t="s">
        <v>9</v>
      </c>
      <c r="I470" s="122"/>
      <c r="J470" s="68"/>
      <c r="K470" s="66" t="s">
        <v>6</v>
      </c>
      <c r="L470" s="66"/>
      <c r="M470" s="143" t="s">
        <v>1848</v>
      </c>
      <c r="N470" s="144" t="s">
        <v>6</v>
      </c>
      <c r="O470" s="6" t="s">
        <v>19</v>
      </c>
      <c r="P470" s="5" t="s">
        <v>1175</v>
      </c>
      <c r="Q470" s="5" t="s">
        <v>0</v>
      </c>
      <c r="R470" s="7" t="s">
        <v>1176</v>
      </c>
    </row>
    <row r="471" spans="1:18" ht="31.2">
      <c r="A471" s="214" t="str">
        <f>HYPERLINK("http://sipi.sic.gov.co/sipi/View.ashx?4369304","SD2022/0096590")</f>
        <v>SD2022/0096590</v>
      </c>
      <c r="B471" s="26" t="s">
        <v>1177</v>
      </c>
      <c r="C471" s="62" t="s">
        <v>7</v>
      </c>
      <c r="D471" s="110" t="s">
        <v>8</v>
      </c>
      <c r="E471" s="87"/>
      <c r="F471" s="88"/>
      <c r="G471" s="66" t="s">
        <v>6</v>
      </c>
      <c r="H471" s="86"/>
      <c r="I471" s="131"/>
      <c r="J471" s="88"/>
      <c r="K471" s="66" t="s">
        <v>6</v>
      </c>
      <c r="L471" s="86"/>
      <c r="M471" s="150" t="s">
        <v>1867</v>
      </c>
      <c r="N471" s="144" t="s">
        <v>1872</v>
      </c>
      <c r="O471" s="28" t="s">
        <v>19</v>
      </c>
      <c r="P471" s="27" t="s">
        <v>635</v>
      </c>
      <c r="Q471" s="27" t="s">
        <v>0</v>
      </c>
      <c r="R471" s="29" t="s">
        <v>1178</v>
      </c>
    </row>
    <row r="472" spans="1:18" ht="360">
      <c r="A472" s="196" t="str">
        <f>HYPERLINK("http://sipi.sic.gov.co/sipi/View.ashx?4371435","SD2022/0097089")</f>
        <v>SD2022/0097089</v>
      </c>
      <c r="B472" s="8" t="s">
        <v>1179</v>
      </c>
      <c r="C472" s="57" t="s">
        <v>13</v>
      </c>
      <c r="D472" s="104" t="s">
        <v>17</v>
      </c>
      <c r="E472" s="97" t="s">
        <v>1180</v>
      </c>
      <c r="F472" s="68" t="s">
        <v>1841</v>
      </c>
      <c r="G472" s="66" t="s">
        <v>1848</v>
      </c>
      <c r="H472" s="66" t="s">
        <v>9</v>
      </c>
      <c r="I472" s="134"/>
      <c r="J472" s="68"/>
      <c r="K472" s="66" t="s">
        <v>6</v>
      </c>
      <c r="L472" s="66"/>
      <c r="M472" s="143" t="s">
        <v>1848</v>
      </c>
      <c r="N472" s="144" t="s">
        <v>1856</v>
      </c>
      <c r="O472" s="6" t="s">
        <v>19</v>
      </c>
      <c r="P472" s="5" t="s">
        <v>1181</v>
      </c>
      <c r="Q472" s="5" t="s">
        <v>1182</v>
      </c>
      <c r="R472" s="7" t="s">
        <v>1183</v>
      </c>
    </row>
    <row r="473" spans="1:18" ht="115.2">
      <c r="A473" s="196" t="str">
        <f>HYPERLINK("http://sipi.sic.gov.co/sipi/View.ashx?4372204","SD2022/0097273")</f>
        <v>SD2022/0097273</v>
      </c>
      <c r="B473" s="8" t="s">
        <v>1184</v>
      </c>
      <c r="C473" s="57" t="s">
        <v>13</v>
      </c>
      <c r="D473" s="104" t="s">
        <v>8</v>
      </c>
      <c r="E473" s="67"/>
      <c r="F473" s="68"/>
      <c r="G473" s="66" t="s">
        <v>6</v>
      </c>
      <c r="H473" s="66"/>
      <c r="I473" s="122"/>
      <c r="J473" s="68"/>
      <c r="K473" s="66" t="s">
        <v>6</v>
      </c>
      <c r="L473" s="66"/>
      <c r="M473" s="143" t="s">
        <v>1849</v>
      </c>
      <c r="N473" s="144" t="s">
        <v>6</v>
      </c>
      <c r="O473" s="6" t="s">
        <v>9</v>
      </c>
      <c r="P473" s="5" t="s">
        <v>1185</v>
      </c>
      <c r="Q473" s="5" t="s">
        <v>949</v>
      </c>
      <c r="R473" s="7" t="s">
        <v>1186</v>
      </c>
    </row>
    <row r="474" spans="1:18" ht="62.4">
      <c r="A474" s="196" t="str">
        <f>HYPERLINK("http://sipi.sic.gov.co/sipi/View.ashx?4372300","SD2022/0097293")</f>
        <v>SD2022/0097293</v>
      </c>
      <c r="B474" s="8" t="s">
        <v>1187</v>
      </c>
      <c r="C474" s="57" t="s">
        <v>7</v>
      </c>
      <c r="D474" s="104" t="s">
        <v>8</v>
      </c>
      <c r="E474" s="67"/>
      <c r="F474" s="68"/>
      <c r="G474" s="66" t="s">
        <v>6</v>
      </c>
      <c r="H474" s="66"/>
      <c r="I474" s="122"/>
      <c r="J474" s="68"/>
      <c r="K474" s="66" t="s">
        <v>6</v>
      </c>
      <c r="L474" s="66"/>
      <c r="M474" s="143" t="s">
        <v>1848</v>
      </c>
      <c r="N474" s="144" t="s">
        <v>6</v>
      </c>
      <c r="O474" s="6" t="s">
        <v>9</v>
      </c>
      <c r="P474" s="5" t="s">
        <v>1188</v>
      </c>
      <c r="Q474" s="5" t="s">
        <v>0</v>
      </c>
      <c r="R474" s="7" t="s">
        <v>1189</v>
      </c>
    </row>
    <row r="475" spans="1:18" ht="115.2">
      <c r="A475" s="196" t="str">
        <f>HYPERLINK("http://sipi.sic.gov.co/sipi/View.ashx?4372483","SD2022/0097330")</f>
        <v>SD2022/0097330</v>
      </c>
      <c r="B475" s="8" t="s">
        <v>1190</v>
      </c>
      <c r="C475" s="57" t="s">
        <v>13</v>
      </c>
      <c r="D475" s="104" t="s">
        <v>8</v>
      </c>
      <c r="E475" s="67"/>
      <c r="F475" s="68"/>
      <c r="G475" s="66" t="s">
        <v>6</v>
      </c>
      <c r="H475" s="66"/>
      <c r="I475" s="122"/>
      <c r="J475" s="68"/>
      <c r="K475" s="66" t="s">
        <v>6</v>
      </c>
      <c r="L475" s="66"/>
      <c r="M475" s="143" t="s">
        <v>1848</v>
      </c>
      <c r="N475" s="144" t="s">
        <v>6</v>
      </c>
      <c r="O475" s="6" t="s">
        <v>9</v>
      </c>
      <c r="P475" s="5" t="s">
        <v>1188</v>
      </c>
      <c r="Q475" s="5" t="s">
        <v>0</v>
      </c>
      <c r="R475" s="7" t="s">
        <v>1191</v>
      </c>
    </row>
    <row r="476" spans="1:18" ht="72">
      <c r="A476" s="196" t="str">
        <f>HYPERLINK("http://sipi.sic.gov.co/sipi/View.ashx?4373015","SD2022/0097576")</f>
        <v>SD2022/0097576</v>
      </c>
      <c r="B476" s="8" t="s">
        <v>1192</v>
      </c>
      <c r="C476" s="57" t="s">
        <v>7</v>
      </c>
      <c r="D476" s="104" t="s">
        <v>8</v>
      </c>
      <c r="E476" s="67"/>
      <c r="F476" s="68"/>
      <c r="G476" s="66" t="s">
        <v>6</v>
      </c>
      <c r="H476" s="66"/>
      <c r="I476" s="122"/>
      <c r="J476" s="68"/>
      <c r="K476" s="66" t="s">
        <v>6</v>
      </c>
      <c r="L476" s="66"/>
      <c r="M476" s="143" t="s">
        <v>1849</v>
      </c>
      <c r="N476" s="144" t="s">
        <v>6</v>
      </c>
      <c r="O476" s="6" t="s">
        <v>1193</v>
      </c>
      <c r="P476" s="5" t="s">
        <v>1194</v>
      </c>
      <c r="Q476" s="5" t="s">
        <v>63</v>
      </c>
      <c r="R476" s="7" t="s">
        <v>1195</v>
      </c>
    </row>
    <row r="477" spans="1:18" ht="72">
      <c r="A477" s="196" t="str">
        <f>HYPERLINK("http://sipi.sic.gov.co/sipi/View.ashx?4373020","SD2022/0097579")</f>
        <v>SD2022/0097579</v>
      </c>
      <c r="B477" s="8" t="s">
        <v>1196</v>
      </c>
      <c r="C477" s="57" t="s">
        <v>7</v>
      </c>
      <c r="D477" s="104" t="s">
        <v>8</v>
      </c>
      <c r="E477" s="67"/>
      <c r="F477" s="68"/>
      <c r="G477" s="66" t="s">
        <v>6</v>
      </c>
      <c r="H477" s="66"/>
      <c r="I477" s="122"/>
      <c r="J477" s="68"/>
      <c r="K477" s="66" t="s">
        <v>6</v>
      </c>
      <c r="L477" s="66"/>
      <c r="M477" s="143" t="s">
        <v>1848</v>
      </c>
      <c r="N477" s="144" t="s">
        <v>6</v>
      </c>
      <c r="O477" s="6" t="s">
        <v>19</v>
      </c>
      <c r="P477" s="5" t="s">
        <v>1194</v>
      </c>
      <c r="Q477" s="5" t="s">
        <v>63</v>
      </c>
      <c r="R477" s="7" t="s">
        <v>1197</v>
      </c>
    </row>
    <row r="478" spans="1:18" ht="78">
      <c r="A478" s="196" t="str">
        <f>HYPERLINK("http://sipi.sic.gov.co/sipi/View.ashx?4373197","SD2022/0097593")</f>
        <v>SD2022/0097593</v>
      </c>
      <c r="B478" s="8" t="s">
        <v>1198</v>
      </c>
      <c r="C478" s="57" t="s">
        <v>13</v>
      </c>
      <c r="D478" s="104" t="s">
        <v>8</v>
      </c>
      <c r="E478" s="67"/>
      <c r="F478" s="68"/>
      <c r="G478" s="66" t="s">
        <v>6</v>
      </c>
      <c r="H478" s="66"/>
      <c r="I478" s="122"/>
      <c r="J478" s="68"/>
      <c r="K478" s="66" t="s">
        <v>6</v>
      </c>
      <c r="L478" s="66"/>
      <c r="M478" s="143" t="s">
        <v>1871</v>
      </c>
      <c r="N478" s="144" t="s">
        <v>6</v>
      </c>
      <c r="O478" s="6" t="s">
        <v>9</v>
      </c>
      <c r="P478" s="5" t="s">
        <v>1199</v>
      </c>
      <c r="Q478" s="5" t="s">
        <v>1200</v>
      </c>
      <c r="R478" s="7" t="s">
        <v>1201</v>
      </c>
    </row>
    <row r="479" spans="1:18" ht="57.6">
      <c r="A479" s="196" t="str">
        <f>HYPERLINK("http://sipi.sic.gov.co/sipi/View.ashx?4373979","SD2022/0097767")</f>
        <v>SD2022/0097767</v>
      </c>
      <c r="B479" s="8" t="s">
        <v>1202</v>
      </c>
      <c r="C479" s="57" t="s">
        <v>7</v>
      </c>
      <c r="D479" s="104" t="s">
        <v>8</v>
      </c>
      <c r="E479" s="67"/>
      <c r="F479" s="68"/>
      <c r="G479" s="66" t="s">
        <v>6</v>
      </c>
      <c r="H479" s="66"/>
      <c r="I479" s="122"/>
      <c r="J479" s="68"/>
      <c r="K479" s="66" t="s">
        <v>6</v>
      </c>
      <c r="L479" s="66"/>
      <c r="M479" s="143" t="s">
        <v>1848</v>
      </c>
      <c r="N479" s="144" t="s">
        <v>6</v>
      </c>
      <c r="O479" s="6" t="s">
        <v>9</v>
      </c>
      <c r="P479" s="5" t="s">
        <v>1203</v>
      </c>
      <c r="Q479" s="5" t="s">
        <v>0</v>
      </c>
      <c r="R479" s="7" t="s">
        <v>1204</v>
      </c>
    </row>
    <row r="480" spans="1:18" ht="46.8">
      <c r="A480" s="196" t="str">
        <f>HYPERLINK("http://sipi.sic.gov.co/sipi/View.ashx?4374247","SD2022/0097829")</f>
        <v>SD2022/0097829</v>
      </c>
      <c r="B480" s="8" t="s">
        <v>1205</v>
      </c>
      <c r="C480" s="57" t="s">
        <v>7</v>
      </c>
      <c r="D480" s="104" t="s">
        <v>17</v>
      </c>
      <c r="E480" s="67" t="s">
        <v>1206</v>
      </c>
      <c r="F480" s="68" t="s">
        <v>1784</v>
      </c>
      <c r="G480" s="66" t="s">
        <v>1852</v>
      </c>
      <c r="H480" s="66" t="s">
        <v>19</v>
      </c>
      <c r="I480" s="122"/>
      <c r="J480" s="68"/>
      <c r="K480" s="66" t="s">
        <v>6</v>
      </c>
      <c r="L480" s="66"/>
      <c r="M480" s="143" t="s">
        <v>1848</v>
      </c>
      <c r="N480" s="144" t="s">
        <v>6</v>
      </c>
      <c r="O480" s="6" t="s">
        <v>19</v>
      </c>
      <c r="P480" s="5" t="s">
        <v>1207</v>
      </c>
      <c r="Q480" s="5" t="s">
        <v>0</v>
      </c>
      <c r="R480" s="7" t="s">
        <v>1208</v>
      </c>
    </row>
    <row r="481" spans="1:18" ht="93.6">
      <c r="A481" s="196" t="str">
        <f>HYPERLINK("http://sipi.sic.gov.co/sipi/View.ashx?4374912","SD2022/0099454")</f>
        <v>SD2022/0099454</v>
      </c>
      <c r="B481" s="8" t="s">
        <v>1209</v>
      </c>
      <c r="C481" s="57" t="s">
        <v>13</v>
      </c>
      <c r="D481" s="104" t="s">
        <v>8</v>
      </c>
      <c r="E481" s="67"/>
      <c r="F481" s="68"/>
      <c r="G481" s="66" t="s">
        <v>6</v>
      </c>
      <c r="H481" s="66"/>
      <c r="I481" s="122"/>
      <c r="J481" s="68"/>
      <c r="K481" s="66" t="s">
        <v>6</v>
      </c>
      <c r="L481" s="66"/>
      <c r="M481" s="143" t="s">
        <v>1848</v>
      </c>
      <c r="N481" s="144" t="s">
        <v>6</v>
      </c>
      <c r="O481" s="6" t="s">
        <v>9</v>
      </c>
      <c r="P481" s="5" t="s">
        <v>1210</v>
      </c>
      <c r="Q481" s="5" t="s">
        <v>0</v>
      </c>
      <c r="R481" s="7" t="s">
        <v>1211</v>
      </c>
    </row>
    <row r="482" spans="1:18" ht="93.6">
      <c r="A482" s="196" t="str">
        <f>HYPERLINK("http://sipi.sic.gov.co/sipi/View.ashx?4374933","SD2022/0099458")</f>
        <v>SD2022/0099458</v>
      </c>
      <c r="B482" s="8" t="s">
        <v>1212</v>
      </c>
      <c r="C482" s="57" t="s">
        <v>13</v>
      </c>
      <c r="D482" s="104" t="s">
        <v>8</v>
      </c>
      <c r="E482" s="67"/>
      <c r="F482" s="68"/>
      <c r="G482" s="66" t="s">
        <v>6</v>
      </c>
      <c r="H482" s="66"/>
      <c r="I482" s="122"/>
      <c r="J482" s="68"/>
      <c r="K482" s="66" t="s">
        <v>6</v>
      </c>
      <c r="L482" s="66"/>
      <c r="M482" s="143" t="s">
        <v>1848</v>
      </c>
      <c r="N482" s="144" t="s">
        <v>6</v>
      </c>
      <c r="O482" s="6" t="s">
        <v>9</v>
      </c>
      <c r="P482" s="5" t="s">
        <v>1210</v>
      </c>
      <c r="Q482" s="5" t="s">
        <v>0</v>
      </c>
      <c r="R482" s="7" t="s">
        <v>1211</v>
      </c>
    </row>
    <row r="483" spans="1:18" ht="78">
      <c r="A483" s="196" t="str">
        <f>HYPERLINK("http://sipi.sic.gov.co/sipi/View.ashx?4375288","SD2022/0098060")</f>
        <v>SD2022/0098060</v>
      </c>
      <c r="B483" s="8" t="s">
        <v>1213</v>
      </c>
      <c r="C483" s="57" t="s">
        <v>13</v>
      </c>
      <c r="D483" s="104" t="s">
        <v>8</v>
      </c>
      <c r="E483" s="67"/>
      <c r="F483" s="68"/>
      <c r="G483" s="66" t="s">
        <v>6</v>
      </c>
      <c r="H483" s="66"/>
      <c r="I483" s="122"/>
      <c r="J483" s="68"/>
      <c r="K483" s="66" t="s">
        <v>6</v>
      </c>
      <c r="L483" s="66"/>
      <c r="M483" s="143" t="s">
        <v>1848</v>
      </c>
      <c r="N483" s="144" t="s">
        <v>6</v>
      </c>
      <c r="O483" s="6" t="s">
        <v>9</v>
      </c>
      <c r="P483" s="5" t="s">
        <v>1214</v>
      </c>
      <c r="Q483" s="5" t="s">
        <v>0</v>
      </c>
      <c r="R483" s="7" t="s">
        <v>1215</v>
      </c>
    </row>
    <row r="484" spans="1:18" ht="46.8">
      <c r="A484" s="196" t="str">
        <f>HYPERLINK("http://sipi.sic.gov.co/sipi/View.ashx?4375768","SD2022/0098168")</f>
        <v>SD2022/0098168</v>
      </c>
      <c r="B484" s="8" t="s">
        <v>1205</v>
      </c>
      <c r="C484" s="57" t="s">
        <v>13</v>
      </c>
      <c r="D484" s="104" t="s">
        <v>17</v>
      </c>
      <c r="E484" s="67" t="s">
        <v>1206</v>
      </c>
      <c r="F484" s="68" t="s">
        <v>1785</v>
      </c>
      <c r="G484" s="66" t="s">
        <v>1852</v>
      </c>
      <c r="H484" s="66" t="s">
        <v>19</v>
      </c>
      <c r="I484" s="122"/>
      <c r="J484" s="68"/>
      <c r="K484" s="66" t="s">
        <v>6</v>
      </c>
      <c r="L484" s="66"/>
      <c r="M484" s="143" t="s">
        <v>1848</v>
      </c>
      <c r="N484" s="144" t="s">
        <v>1852</v>
      </c>
      <c r="O484" s="6" t="s">
        <v>1193</v>
      </c>
      <c r="P484" s="5" t="s">
        <v>1207</v>
      </c>
      <c r="Q484" s="5" t="s">
        <v>0</v>
      </c>
      <c r="R484" s="7" t="s">
        <v>1208</v>
      </c>
    </row>
    <row r="485" spans="1:18" ht="57.6">
      <c r="A485" s="196" t="str">
        <f>HYPERLINK("http://sipi.sic.gov.co/sipi/View.ashx?4376462","SD2022/0098329")</f>
        <v>SD2022/0098329</v>
      </c>
      <c r="B485" s="8" t="s">
        <v>1216</v>
      </c>
      <c r="C485" s="57" t="s">
        <v>7</v>
      </c>
      <c r="D485" s="104" t="s">
        <v>17</v>
      </c>
      <c r="E485" s="67" t="s">
        <v>1217</v>
      </c>
      <c r="F485" s="68" t="s">
        <v>1786</v>
      </c>
      <c r="G485" s="66" t="s">
        <v>1848</v>
      </c>
      <c r="H485" s="66" t="s">
        <v>9</v>
      </c>
      <c r="I485" s="122"/>
      <c r="J485" s="68"/>
      <c r="K485" s="66" t="s">
        <v>6</v>
      </c>
      <c r="L485" s="66"/>
      <c r="M485" s="143" t="s">
        <v>1848</v>
      </c>
      <c r="N485" s="144" t="s">
        <v>6</v>
      </c>
      <c r="O485" s="6" t="s">
        <v>19</v>
      </c>
      <c r="P485" s="5" t="s">
        <v>997</v>
      </c>
      <c r="Q485" s="5" t="s">
        <v>654</v>
      </c>
      <c r="R485" s="7" t="s">
        <v>1218</v>
      </c>
    </row>
    <row r="486" spans="1:18" ht="31.2">
      <c r="A486" s="196" t="str">
        <f>HYPERLINK("http://sipi.sic.gov.co/sipi/View.ashx?4376662","SD2022/0098400")</f>
        <v>SD2022/0098400</v>
      </c>
      <c r="B486" s="8" t="s">
        <v>1219</v>
      </c>
      <c r="C486" s="57" t="s">
        <v>7</v>
      </c>
      <c r="D486" s="104" t="s">
        <v>17</v>
      </c>
      <c r="E486" s="67" t="s">
        <v>1217</v>
      </c>
      <c r="F486" s="68" t="s">
        <v>1786</v>
      </c>
      <c r="G486" s="66" t="s">
        <v>1848</v>
      </c>
      <c r="H486" s="66" t="s">
        <v>9</v>
      </c>
      <c r="I486" s="122"/>
      <c r="J486" s="68"/>
      <c r="K486" s="66" t="s">
        <v>6</v>
      </c>
      <c r="L486" s="66"/>
      <c r="M486" s="143" t="s">
        <v>1848</v>
      </c>
      <c r="N486" s="144" t="s">
        <v>6</v>
      </c>
      <c r="O486" s="6" t="s">
        <v>19</v>
      </c>
      <c r="P486" s="5" t="s">
        <v>925</v>
      </c>
      <c r="Q486" s="5" t="s">
        <v>0</v>
      </c>
      <c r="R486" s="7" t="s">
        <v>1220</v>
      </c>
    </row>
    <row r="487" spans="1:18" ht="57.6">
      <c r="A487" s="196" t="str">
        <f>HYPERLINK("http://sipi.sic.gov.co/sipi/View.ashx?4377943","SD2022/0098629")</f>
        <v>SD2022/0098629</v>
      </c>
      <c r="B487" s="8" t="s">
        <v>1221</v>
      </c>
      <c r="C487" s="57" t="s">
        <v>7</v>
      </c>
      <c r="D487" s="104" t="s">
        <v>8</v>
      </c>
      <c r="E487" s="67"/>
      <c r="F487" s="68"/>
      <c r="G487" s="66" t="s">
        <v>6</v>
      </c>
      <c r="H487" s="66"/>
      <c r="I487" s="122"/>
      <c r="J487" s="68"/>
      <c r="K487" s="66" t="s">
        <v>6</v>
      </c>
      <c r="L487" s="66"/>
      <c r="M487" s="143" t="s">
        <v>1848</v>
      </c>
      <c r="N487" s="144" t="s">
        <v>6</v>
      </c>
      <c r="O487" s="6" t="s">
        <v>9</v>
      </c>
      <c r="P487" s="5" t="s">
        <v>1203</v>
      </c>
      <c r="Q487" s="5" t="s">
        <v>0</v>
      </c>
      <c r="R487" s="7" t="s">
        <v>1204</v>
      </c>
    </row>
    <row r="488" spans="1:18" ht="78">
      <c r="A488" s="196" t="str">
        <f>HYPERLINK("http://sipi.sic.gov.co/sipi/View.ashx?4378011","SD2022/0100633")</f>
        <v>SD2022/0100633</v>
      </c>
      <c r="B488" s="8" t="s">
        <v>1222</v>
      </c>
      <c r="C488" s="57" t="s">
        <v>13</v>
      </c>
      <c r="D488" s="104" t="s">
        <v>8</v>
      </c>
      <c r="E488" s="67"/>
      <c r="F488" s="68"/>
      <c r="G488" s="66" t="s">
        <v>6</v>
      </c>
      <c r="H488" s="66"/>
      <c r="I488" s="122"/>
      <c r="J488" s="68"/>
      <c r="K488" s="66" t="s">
        <v>6</v>
      </c>
      <c r="L488" s="66"/>
      <c r="M488" s="143" t="s">
        <v>1849</v>
      </c>
      <c r="N488" s="144" t="s">
        <v>6</v>
      </c>
      <c r="O488" s="6" t="s">
        <v>19</v>
      </c>
      <c r="P488" s="5" t="s">
        <v>1223</v>
      </c>
      <c r="Q488" s="5" t="s">
        <v>0</v>
      </c>
      <c r="R488" s="7" t="s">
        <v>1224</v>
      </c>
    </row>
    <row r="489" spans="1:18" ht="172.8">
      <c r="A489" s="196" t="str">
        <f>HYPERLINK("http://sipi.sic.gov.co/sipi/View.ashx?4379103","SD2022/0098918")</f>
        <v>SD2022/0098918</v>
      </c>
      <c r="B489" s="8" t="s">
        <v>1225</v>
      </c>
      <c r="C489" s="57" t="s">
        <v>7</v>
      </c>
      <c r="D489" s="104" t="s">
        <v>8</v>
      </c>
      <c r="E489" s="67"/>
      <c r="F489" s="68"/>
      <c r="G489" s="66" t="s">
        <v>6</v>
      </c>
      <c r="H489" s="66"/>
      <c r="I489" s="122"/>
      <c r="J489" s="68"/>
      <c r="K489" s="66" t="s">
        <v>6</v>
      </c>
      <c r="L489" s="66"/>
      <c r="M489" s="143" t="s">
        <v>1848</v>
      </c>
      <c r="N489" s="144" t="s">
        <v>6</v>
      </c>
      <c r="O489" s="6" t="s">
        <v>19</v>
      </c>
      <c r="P489" s="5" t="s">
        <v>1108</v>
      </c>
      <c r="Q489" s="5" t="s">
        <v>0</v>
      </c>
      <c r="R489" s="7" t="s">
        <v>1226</v>
      </c>
    </row>
    <row r="490" spans="1:18" ht="46.8">
      <c r="A490" s="196" t="str">
        <f>HYPERLINK("http://sipi.sic.gov.co/sipi/View.ashx?4381131","SD2022/0100640")</f>
        <v>SD2022/0100640</v>
      </c>
      <c r="B490" s="8" t="s">
        <v>1227</v>
      </c>
      <c r="C490" s="57" t="s">
        <v>7</v>
      </c>
      <c r="D490" s="104" t="s">
        <v>17</v>
      </c>
      <c r="E490" s="67" t="s">
        <v>1228</v>
      </c>
      <c r="F490" s="68" t="s">
        <v>1787</v>
      </c>
      <c r="G490" s="66" t="s">
        <v>1848</v>
      </c>
      <c r="H490" s="66" t="s">
        <v>9</v>
      </c>
      <c r="I490" s="122"/>
      <c r="J490" s="68"/>
      <c r="K490" s="66" t="s">
        <v>6</v>
      </c>
      <c r="L490" s="66"/>
      <c r="M490" s="143" t="s">
        <v>1848</v>
      </c>
      <c r="N490" s="144" t="s">
        <v>6</v>
      </c>
      <c r="O490" s="6" t="s">
        <v>19</v>
      </c>
      <c r="P490" s="5" t="s">
        <v>1229</v>
      </c>
      <c r="Q490" s="5" t="s">
        <v>0</v>
      </c>
      <c r="R490" s="7" t="s">
        <v>1230</v>
      </c>
    </row>
    <row r="491" spans="1:18" ht="15.6">
      <c r="A491" s="232" t="str">
        <f>HYPERLINK("http://sipi.sic.gov.co/sipi/View.ashx?4381364","SD2022/0099424")</f>
        <v>SD2022/0099424</v>
      </c>
      <c r="B491" s="156" t="s">
        <v>1231</v>
      </c>
      <c r="C491" s="159" t="s">
        <v>13</v>
      </c>
      <c r="D491" s="160" t="s">
        <v>17</v>
      </c>
      <c r="E491" s="192" t="s">
        <v>267</v>
      </c>
      <c r="F491" s="161" t="s">
        <v>1722</v>
      </c>
      <c r="G491" s="66" t="s">
        <v>1856</v>
      </c>
      <c r="H491" s="66" t="s">
        <v>9</v>
      </c>
      <c r="I491" s="122"/>
      <c r="J491" s="68"/>
      <c r="K491" s="66"/>
      <c r="L491" s="66"/>
      <c r="M491" s="143" t="s">
        <v>6</v>
      </c>
      <c r="N491" s="144" t="s">
        <v>6</v>
      </c>
      <c r="O491" s="6"/>
      <c r="P491" s="5"/>
      <c r="Q491" s="5"/>
      <c r="R491" s="7"/>
    </row>
    <row r="492" spans="1:18" ht="409.6">
      <c r="A492" s="198"/>
      <c r="B492" s="156" t="s">
        <v>1231</v>
      </c>
      <c r="C492" s="159" t="s">
        <v>13</v>
      </c>
      <c r="D492" s="160" t="s">
        <v>17</v>
      </c>
      <c r="E492" s="192" t="s">
        <v>267</v>
      </c>
      <c r="F492" s="161" t="s">
        <v>1722</v>
      </c>
      <c r="G492" s="66" t="s">
        <v>1848</v>
      </c>
      <c r="H492" s="66" t="s">
        <v>9</v>
      </c>
      <c r="I492" s="122"/>
      <c r="J492" s="68"/>
      <c r="M492" s="143" t="s">
        <v>1848</v>
      </c>
      <c r="N492" s="144" t="s">
        <v>1856</v>
      </c>
      <c r="O492" s="6" t="s">
        <v>19</v>
      </c>
      <c r="P492" s="5" t="s">
        <v>1232</v>
      </c>
      <c r="Q492" s="5" t="s">
        <v>0</v>
      </c>
      <c r="R492" s="7" t="s">
        <v>1233</v>
      </c>
    </row>
    <row r="493" spans="1:18" ht="15.6">
      <c r="A493" s="197" t="str">
        <f>HYPERLINK("http://sipi.sic.gov.co/sipi/View.ashx?4381373","SD2022/0099426")</f>
        <v>SD2022/0099426</v>
      </c>
      <c r="B493" s="156" t="s">
        <v>1234</v>
      </c>
      <c r="C493" s="159" t="s">
        <v>13</v>
      </c>
      <c r="D493" s="160" t="s">
        <v>17</v>
      </c>
      <c r="E493" s="192" t="s">
        <v>267</v>
      </c>
      <c r="F493" s="161" t="s">
        <v>1722</v>
      </c>
      <c r="G493" s="66" t="s">
        <v>1856</v>
      </c>
      <c r="H493" s="66" t="s">
        <v>9</v>
      </c>
      <c r="I493" s="122"/>
      <c r="J493" s="68"/>
      <c r="K493" s="66"/>
      <c r="L493" s="66"/>
      <c r="M493" s="143" t="s">
        <v>6</v>
      </c>
      <c r="N493" s="144" t="s">
        <v>6</v>
      </c>
      <c r="O493" s="6"/>
      <c r="P493" s="5"/>
      <c r="Q493" s="5"/>
      <c r="R493" s="7"/>
    </row>
    <row r="494" spans="1:18" ht="409.6">
      <c r="A494" s="198"/>
      <c r="B494" s="156" t="s">
        <v>1234</v>
      </c>
      <c r="C494" s="159" t="s">
        <v>13</v>
      </c>
      <c r="D494" s="160" t="s">
        <v>17</v>
      </c>
      <c r="E494" s="192" t="s">
        <v>267</v>
      </c>
      <c r="F494" s="161" t="s">
        <v>1722</v>
      </c>
      <c r="G494" s="66" t="s">
        <v>1848</v>
      </c>
      <c r="H494" s="66" t="s">
        <v>9</v>
      </c>
      <c r="I494" s="122"/>
      <c r="J494" s="68"/>
      <c r="M494" s="143" t="s">
        <v>1848</v>
      </c>
      <c r="N494" s="144" t="s">
        <v>1856</v>
      </c>
      <c r="O494" s="6" t="s">
        <v>19</v>
      </c>
      <c r="P494" s="5" t="s">
        <v>1232</v>
      </c>
      <c r="Q494" s="5" t="s">
        <v>0</v>
      </c>
      <c r="R494" s="7" t="s">
        <v>1233</v>
      </c>
    </row>
    <row r="495" spans="1:18" ht="15.6">
      <c r="A495" s="197" t="str">
        <f>HYPERLINK("http://sipi.sic.gov.co/sipi/View.ashx?4381383","SD2022/0099429")</f>
        <v>SD2022/0099429</v>
      </c>
      <c r="B495" s="156" t="s">
        <v>1235</v>
      </c>
      <c r="C495" s="159" t="s">
        <v>13</v>
      </c>
      <c r="D495" s="160" t="s">
        <v>17</v>
      </c>
      <c r="E495" s="192" t="s">
        <v>267</v>
      </c>
      <c r="F495" s="161" t="s">
        <v>1722</v>
      </c>
      <c r="G495" s="66" t="s">
        <v>1856</v>
      </c>
      <c r="H495" s="66" t="s">
        <v>9</v>
      </c>
      <c r="I495" s="122"/>
      <c r="J495" s="68"/>
      <c r="K495" s="66"/>
      <c r="L495" s="66"/>
      <c r="M495" s="143" t="s">
        <v>6</v>
      </c>
      <c r="N495" s="144" t="s">
        <v>6</v>
      </c>
      <c r="O495" s="6"/>
      <c r="P495" s="5"/>
      <c r="Q495" s="5"/>
      <c r="R495" s="7"/>
    </row>
    <row r="496" spans="1:18" ht="409.6">
      <c r="A496" s="198"/>
      <c r="B496" s="156" t="s">
        <v>1235</v>
      </c>
      <c r="C496" s="159" t="s">
        <v>13</v>
      </c>
      <c r="D496" s="160" t="s">
        <v>17</v>
      </c>
      <c r="E496" s="192" t="s">
        <v>267</v>
      </c>
      <c r="F496" s="161" t="s">
        <v>1722</v>
      </c>
      <c r="G496" s="66" t="s">
        <v>1848</v>
      </c>
      <c r="H496" s="66" t="s">
        <v>9</v>
      </c>
      <c r="I496" s="122"/>
      <c r="J496" s="68"/>
      <c r="M496" s="143" t="s">
        <v>1848</v>
      </c>
      <c r="N496" s="144" t="s">
        <v>1856</v>
      </c>
      <c r="O496" s="6" t="s">
        <v>19</v>
      </c>
      <c r="P496" s="5" t="s">
        <v>1232</v>
      </c>
      <c r="Q496" s="5" t="s">
        <v>0</v>
      </c>
      <c r="R496" s="7" t="s">
        <v>1233</v>
      </c>
    </row>
    <row r="497" spans="1:18" ht="72">
      <c r="A497" s="196" t="str">
        <f>HYPERLINK("http://sipi.sic.gov.co/sipi/View.ashx?4382191","SD2022/0099562")</f>
        <v>SD2022/0099562</v>
      </c>
      <c r="B497" s="8" t="s">
        <v>1236</v>
      </c>
      <c r="C497" s="57" t="s">
        <v>13</v>
      </c>
      <c r="D497" s="104" t="s">
        <v>17</v>
      </c>
      <c r="E497" s="157" t="s">
        <v>90</v>
      </c>
      <c r="F497" s="161" t="s">
        <v>1705</v>
      </c>
      <c r="G497" s="66" t="s">
        <v>1848</v>
      </c>
      <c r="H497" s="66" t="s">
        <v>9</v>
      </c>
      <c r="I497" s="122"/>
      <c r="J497" s="68"/>
      <c r="K497" s="66" t="s">
        <v>6</v>
      </c>
      <c r="L497" s="66"/>
      <c r="M497" s="143" t="s">
        <v>1848</v>
      </c>
      <c r="N497" s="144" t="s">
        <v>6</v>
      </c>
      <c r="O497" s="6" t="s">
        <v>19</v>
      </c>
      <c r="P497" s="5" t="s">
        <v>1237</v>
      </c>
      <c r="Q497" s="5" t="s">
        <v>0</v>
      </c>
      <c r="R497" s="7" t="s">
        <v>11</v>
      </c>
    </row>
    <row r="498" spans="1:18" ht="62.4">
      <c r="A498" s="196" t="str">
        <f>HYPERLINK("http://sipi.sic.gov.co/sipi/View.ashx?4382969","SD2022/0099729")</f>
        <v>SD2022/0099729</v>
      </c>
      <c r="B498" s="8" t="s">
        <v>1238</v>
      </c>
      <c r="C498" s="57" t="s">
        <v>13</v>
      </c>
      <c r="D498" s="104" t="s">
        <v>8</v>
      </c>
      <c r="E498" s="67"/>
      <c r="F498" s="68"/>
      <c r="G498" s="66" t="s">
        <v>6</v>
      </c>
      <c r="H498" s="66"/>
      <c r="I498" s="122"/>
      <c r="J498" s="68"/>
      <c r="K498" s="66" t="s">
        <v>6</v>
      </c>
      <c r="L498" s="66"/>
      <c r="M498" s="143" t="s">
        <v>1848</v>
      </c>
      <c r="N498" s="144" t="s">
        <v>6</v>
      </c>
      <c r="O498" s="6" t="s">
        <v>9</v>
      </c>
      <c r="P498" s="5" t="s">
        <v>1239</v>
      </c>
      <c r="Q498" s="5" t="s">
        <v>0</v>
      </c>
      <c r="R498" s="7" t="s">
        <v>1240</v>
      </c>
    </row>
    <row r="499" spans="1:18" ht="288">
      <c r="A499" s="196" t="str">
        <f>HYPERLINK("http://sipi.sic.gov.co/sipi/View.ashx?4383145","SD2022/0099774")</f>
        <v>SD2022/0099774</v>
      </c>
      <c r="B499" s="8" t="s">
        <v>1241</v>
      </c>
      <c r="C499" s="57" t="s">
        <v>13</v>
      </c>
      <c r="D499" s="104" t="s">
        <v>8</v>
      </c>
      <c r="E499" s="67"/>
      <c r="F499" s="68"/>
      <c r="G499" s="66" t="s">
        <v>6</v>
      </c>
      <c r="H499" s="66"/>
      <c r="I499" s="122"/>
      <c r="J499" s="68"/>
      <c r="K499" s="66" t="s">
        <v>6</v>
      </c>
      <c r="L499" s="66"/>
      <c r="M499" s="143" t="s">
        <v>1848</v>
      </c>
      <c r="N499" s="144" t="s">
        <v>6</v>
      </c>
      <c r="O499" s="6" t="s">
        <v>9</v>
      </c>
      <c r="P499" s="5" t="s">
        <v>1242</v>
      </c>
      <c r="Q499" s="5" t="s">
        <v>23</v>
      </c>
      <c r="R499" s="7" t="s">
        <v>1243</v>
      </c>
    </row>
    <row r="500" spans="1:18" ht="15.6">
      <c r="A500" s="197" t="str">
        <f>HYPERLINK("http://sipi.sic.gov.co/sipi/View.ashx?4383591","SD2022/0099978")</f>
        <v>SD2022/0099978</v>
      </c>
      <c r="B500" s="156" t="s">
        <v>1244</v>
      </c>
      <c r="C500" s="159" t="s">
        <v>13</v>
      </c>
      <c r="D500" s="160" t="s">
        <v>17</v>
      </c>
      <c r="E500" s="192" t="s">
        <v>1245</v>
      </c>
      <c r="F500" s="161" t="s">
        <v>1721</v>
      </c>
      <c r="G500" s="66" t="s">
        <v>1848</v>
      </c>
      <c r="H500" s="66" t="s">
        <v>19</v>
      </c>
      <c r="I500" s="122"/>
      <c r="J500" s="68"/>
      <c r="K500" s="66"/>
      <c r="L500" s="66"/>
      <c r="M500" s="143" t="s">
        <v>6</v>
      </c>
      <c r="N500" s="144" t="s">
        <v>6</v>
      </c>
      <c r="O500" s="6"/>
      <c r="P500" s="5"/>
      <c r="Q500" s="5"/>
      <c r="R500" s="7"/>
    </row>
    <row r="501" spans="1:18" ht="46.8">
      <c r="A501" s="198"/>
      <c r="B501" s="156" t="s">
        <v>1244</v>
      </c>
      <c r="C501" s="159" t="s">
        <v>13</v>
      </c>
      <c r="D501" s="160" t="s">
        <v>17</v>
      </c>
      <c r="E501" s="192" t="s">
        <v>1245</v>
      </c>
      <c r="F501" s="161" t="s">
        <v>1721</v>
      </c>
      <c r="G501" s="66" t="s">
        <v>1849</v>
      </c>
      <c r="H501" s="66" t="s">
        <v>19</v>
      </c>
      <c r="I501" s="122"/>
      <c r="J501" s="68"/>
      <c r="M501" s="143" t="s">
        <v>1848</v>
      </c>
      <c r="N501" s="144" t="s">
        <v>6</v>
      </c>
      <c r="O501" s="6" t="s">
        <v>9</v>
      </c>
      <c r="P501" s="5" t="s">
        <v>1246</v>
      </c>
      <c r="Q501" s="5" t="s">
        <v>0</v>
      </c>
      <c r="R501" s="7" t="s">
        <v>1247</v>
      </c>
    </row>
    <row r="502" spans="1:18" ht="46.8">
      <c r="A502" s="196" t="str">
        <f>HYPERLINK("http://sipi.sic.gov.co/sipi/View.ashx?4384595","SD2022/0100177")</f>
        <v>SD2022/0100177</v>
      </c>
      <c r="B502" s="8" t="s">
        <v>1248</v>
      </c>
      <c r="C502" s="57" t="s">
        <v>13</v>
      </c>
      <c r="D502" s="104" t="s">
        <v>8</v>
      </c>
      <c r="E502" s="67"/>
      <c r="F502" s="68"/>
      <c r="G502" s="66" t="s">
        <v>6</v>
      </c>
      <c r="H502" s="66"/>
      <c r="I502" s="122"/>
      <c r="J502" s="68"/>
      <c r="K502" s="66" t="s">
        <v>6</v>
      </c>
      <c r="L502" s="66"/>
      <c r="M502" s="143" t="s">
        <v>1848</v>
      </c>
      <c r="N502" s="144" t="s">
        <v>6</v>
      </c>
      <c r="O502" s="6" t="s">
        <v>19</v>
      </c>
      <c r="P502" s="5" t="s">
        <v>1249</v>
      </c>
      <c r="Q502" s="5" t="s">
        <v>0</v>
      </c>
      <c r="R502" s="7" t="s">
        <v>1250</v>
      </c>
    </row>
    <row r="503" spans="1:18" ht="46.8">
      <c r="A503" s="196" t="str">
        <f>HYPERLINK("http://sipi.sic.gov.co/sipi/View.ashx?4385867","SD2022/0100487")</f>
        <v>SD2022/0100487</v>
      </c>
      <c r="B503" s="8" t="s">
        <v>1251</v>
      </c>
      <c r="C503" s="57" t="s">
        <v>7</v>
      </c>
      <c r="D503" s="104" t="s">
        <v>8</v>
      </c>
      <c r="E503" s="67"/>
      <c r="F503" s="68"/>
      <c r="G503" s="66" t="s">
        <v>6</v>
      </c>
      <c r="H503" s="66"/>
      <c r="I503" s="122"/>
      <c r="J503" s="68"/>
      <c r="K503" s="66" t="s">
        <v>6</v>
      </c>
      <c r="L503" s="66"/>
      <c r="M503" s="143" t="s">
        <v>1848</v>
      </c>
      <c r="N503" s="144" t="s">
        <v>6</v>
      </c>
      <c r="O503" s="6" t="s">
        <v>19</v>
      </c>
      <c r="P503" s="5" t="s">
        <v>1252</v>
      </c>
      <c r="Q503" s="5" t="s">
        <v>0</v>
      </c>
      <c r="R503" s="7" t="s">
        <v>1253</v>
      </c>
    </row>
    <row r="504" spans="1:18" ht="100.8">
      <c r="A504" s="196" t="str">
        <f>HYPERLINK("http://sipi.sic.gov.co/sipi/View.ashx?4387577","SD2022/0100882")</f>
        <v>SD2022/0100882</v>
      </c>
      <c r="B504" s="8" t="s">
        <v>1254</v>
      </c>
      <c r="C504" s="57" t="s">
        <v>13</v>
      </c>
      <c r="D504" s="104" t="s">
        <v>8</v>
      </c>
      <c r="E504" s="67"/>
      <c r="F504" s="68"/>
      <c r="G504" s="66" t="s">
        <v>6</v>
      </c>
      <c r="H504" s="66"/>
      <c r="I504" s="122"/>
      <c r="J504" s="68"/>
      <c r="K504" s="66" t="s">
        <v>6</v>
      </c>
      <c r="L504" s="66"/>
      <c r="M504" s="143" t="s">
        <v>1848</v>
      </c>
      <c r="N504" s="144" t="s">
        <v>6</v>
      </c>
      <c r="O504" s="6" t="s">
        <v>19</v>
      </c>
      <c r="P504" s="5" t="s">
        <v>1255</v>
      </c>
      <c r="Q504" s="5" t="s">
        <v>0</v>
      </c>
      <c r="R504" s="7" t="s">
        <v>1256</v>
      </c>
    </row>
    <row r="505" spans="1:18" ht="78">
      <c r="A505" s="196" t="str">
        <f>HYPERLINK("http://sipi.sic.gov.co/sipi/View.ashx?4387993","SD2022/0100987")</f>
        <v>SD2022/0100987</v>
      </c>
      <c r="B505" s="8" t="s">
        <v>1257</v>
      </c>
      <c r="C505" s="57" t="s">
        <v>7</v>
      </c>
      <c r="D505" s="104" t="s">
        <v>8</v>
      </c>
      <c r="E505" s="67"/>
      <c r="F505" s="68"/>
      <c r="G505" s="66" t="s">
        <v>6</v>
      </c>
      <c r="H505" s="66"/>
      <c r="I505" s="122"/>
      <c r="J505" s="68"/>
      <c r="K505" s="66" t="s">
        <v>6</v>
      </c>
      <c r="L505" s="66"/>
      <c r="M505" s="143" t="s">
        <v>1848</v>
      </c>
      <c r="N505" s="144" t="s">
        <v>6</v>
      </c>
      <c r="O505" s="6" t="s">
        <v>19</v>
      </c>
      <c r="P505" s="5" t="s">
        <v>1258</v>
      </c>
      <c r="Q505" s="5" t="s">
        <v>0</v>
      </c>
      <c r="R505" s="7" t="s">
        <v>1259</v>
      </c>
    </row>
    <row r="506" spans="1:18" ht="31.2">
      <c r="A506" s="196" t="str">
        <f>HYPERLINK("http://sipi.sic.gov.co/sipi/View.ashx?4391881","SD2022/0101784")</f>
        <v>SD2022/0101784</v>
      </c>
      <c r="B506" s="8" t="s">
        <v>1260</v>
      </c>
      <c r="C506" s="57" t="s">
        <v>7</v>
      </c>
      <c r="D506" s="104" t="s">
        <v>8</v>
      </c>
      <c r="E506" s="67"/>
      <c r="F506" s="68"/>
      <c r="G506" s="66" t="s">
        <v>6</v>
      </c>
      <c r="H506" s="66"/>
      <c r="I506" s="122"/>
      <c r="J506" s="68"/>
      <c r="K506" s="66" t="s">
        <v>6</v>
      </c>
      <c r="L506" s="66"/>
      <c r="M506" s="143" t="s">
        <v>1848</v>
      </c>
      <c r="N506" s="144" t="s">
        <v>6</v>
      </c>
      <c r="O506" s="6" t="s">
        <v>19</v>
      </c>
      <c r="P506" s="5" t="s">
        <v>1261</v>
      </c>
      <c r="Q506" s="5" t="s">
        <v>0</v>
      </c>
      <c r="R506" s="7" t="s">
        <v>1262</v>
      </c>
    </row>
    <row r="507" spans="1:18" ht="31.2">
      <c r="A507" s="196" t="str">
        <f>HYPERLINK("http://sipi.sic.gov.co/sipi/View.ashx?4391946","SD2022/0101790")</f>
        <v>SD2022/0101790</v>
      </c>
      <c r="B507" s="8" t="s">
        <v>1263</v>
      </c>
      <c r="C507" s="57" t="s">
        <v>7</v>
      </c>
      <c r="D507" s="104" t="s">
        <v>8</v>
      </c>
      <c r="E507" s="67"/>
      <c r="F507" s="68"/>
      <c r="G507" s="66" t="s">
        <v>6</v>
      </c>
      <c r="H507" s="66"/>
      <c r="I507" s="122"/>
      <c r="J507" s="68"/>
      <c r="K507" s="66" t="s">
        <v>6</v>
      </c>
      <c r="L507" s="66"/>
      <c r="M507" s="143" t="s">
        <v>1848</v>
      </c>
      <c r="N507" s="144" t="s">
        <v>6</v>
      </c>
      <c r="O507" s="6" t="s">
        <v>19</v>
      </c>
      <c r="P507" s="5" t="s">
        <v>1261</v>
      </c>
      <c r="Q507" s="5" t="s">
        <v>0</v>
      </c>
      <c r="R507" s="7" t="s">
        <v>1262</v>
      </c>
    </row>
    <row r="508" spans="1:18" ht="15.6">
      <c r="A508" s="197" t="str">
        <f>HYPERLINK("http://sipi.sic.gov.co/sipi/View.ashx?4391993","SD2022/0101828")</f>
        <v>SD2022/0101828</v>
      </c>
      <c r="B508" s="156" t="s">
        <v>1264</v>
      </c>
      <c r="C508" s="159" t="s">
        <v>7</v>
      </c>
      <c r="D508" s="160" t="s">
        <v>17</v>
      </c>
      <c r="E508" s="192" t="s">
        <v>1265</v>
      </c>
      <c r="F508" s="161" t="s">
        <v>1788</v>
      </c>
      <c r="G508" s="66" t="s">
        <v>1855</v>
      </c>
      <c r="H508" s="66" t="s">
        <v>9</v>
      </c>
      <c r="I508" s="122"/>
      <c r="J508" s="68"/>
      <c r="K508" s="66"/>
      <c r="L508" s="66"/>
      <c r="M508" s="143" t="s">
        <v>6</v>
      </c>
      <c r="N508" s="144" t="s">
        <v>6</v>
      </c>
      <c r="O508" s="6"/>
      <c r="P508" s="5"/>
      <c r="Q508" s="5"/>
      <c r="R508" s="7"/>
    </row>
    <row r="509" spans="1:18" ht="31.2">
      <c r="A509" s="198"/>
      <c r="B509" s="156" t="s">
        <v>1264</v>
      </c>
      <c r="C509" s="159" t="s">
        <v>7</v>
      </c>
      <c r="D509" s="160" t="s">
        <v>17</v>
      </c>
      <c r="E509" s="192" t="s">
        <v>1265</v>
      </c>
      <c r="F509" s="161" t="s">
        <v>1788</v>
      </c>
      <c r="G509" s="66" t="s">
        <v>1848</v>
      </c>
      <c r="H509" s="66" t="s">
        <v>9</v>
      </c>
      <c r="I509" s="135"/>
      <c r="J509" s="68"/>
      <c r="M509" s="143" t="s">
        <v>1855</v>
      </c>
      <c r="N509" s="144" t="s">
        <v>6</v>
      </c>
      <c r="O509" s="6" t="s">
        <v>19</v>
      </c>
      <c r="P509" s="5" t="s">
        <v>1261</v>
      </c>
      <c r="Q509" s="5" t="s">
        <v>0</v>
      </c>
      <c r="R509" s="7" t="s">
        <v>1262</v>
      </c>
    </row>
    <row r="510" spans="1:18" ht="72">
      <c r="A510" s="196" t="str">
        <f>HYPERLINK("http://sipi.sic.gov.co/sipi/View.ashx?4393060","SD2022/0102175")</f>
        <v>SD2022/0102175</v>
      </c>
      <c r="B510" s="8" t="s">
        <v>1266</v>
      </c>
      <c r="C510" s="57" t="s">
        <v>13</v>
      </c>
      <c r="D510" s="104" t="s">
        <v>8</v>
      </c>
      <c r="E510" s="67"/>
      <c r="F510" s="68"/>
      <c r="G510" s="66" t="s">
        <v>6</v>
      </c>
      <c r="H510" s="66"/>
      <c r="I510" s="122"/>
      <c r="J510" s="68"/>
      <c r="K510" s="66" t="s">
        <v>6</v>
      </c>
      <c r="L510" s="66"/>
      <c r="M510" s="143" t="s">
        <v>1848</v>
      </c>
      <c r="N510" s="144" t="s">
        <v>6</v>
      </c>
      <c r="O510" s="6" t="s">
        <v>19</v>
      </c>
      <c r="P510" s="5" t="s">
        <v>1267</v>
      </c>
      <c r="Q510" s="5" t="s">
        <v>0</v>
      </c>
      <c r="R510" s="7" t="s">
        <v>1268</v>
      </c>
    </row>
    <row r="511" spans="1:18" ht="78">
      <c r="A511" s="196" t="str">
        <f>HYPERLINK("http://sipi.sic.gov.co/sipi/View.ashx?4393466","SD2022/0102246")</f>
        <v>SD2022/0102246</v>
      </c>
      <c r="B511" s="8" t="s">
        <v>1269</v>
      </c>
      <c r="C511" s="57" t="s">
        <v>7</v>
      </c>
      <c r="D511" s="104" t="s">
        <v>8</v>
      </c>
      <c r="E511" s="67"/>
      <c r="F511" s="68"/>
      <c r="G511" s="66" t="s">
        <v>6</v>
      </c>
      <c r="H511" s="66"/>
      <c r="I511" s="122"/>
      <c r="J511" s="68"/>
      <c r="K511" s="66" t="s">
        <v>6</v>
      </c>
      <c r="L511" s="66"/>
      <c r="M511" s="143" t="s">
        <v>1848</v>
      </c>
      <c r="N511" s="144" t="s">
        <v>6</v>
      </c>
      <c r="O511" s="6" t="s">
        <v>9</v>
      </c>
      <c r="P511" s="5" t="s">
        <v>1039</v>
      </c>
      <c r="Q511" s="5" t="s">
        <v>0</v>
      </c>
      <c r="R511" s="7" t="s">
        <v>1270</v>
      </c>
    </row>
    <row r="512" spans="1:18" ht="31.2">
      <c r="A512" s="196" t="str">
        <f>HYPERLINK("http://sipi.sic.gov.co/sipi/View.ashx?4393802","SD2022/0102486")</f>
        <v>SD2022/0102486</v>
      </c>
      <c r="B512" s="8" t="s">
        <v>1271</v>
      </c>
      <c r="C512" s="57" t="s">
        <v>7</v>
      </c>
      <c r="D512" s="104" t="s">
        <v>8</v>
      </c>
      <c r="E512" s="67"/>
      <c r="F512" s="68"/>
      <c r="G512" s="66" t="s">
        <v>6</v>
      </c>
      <c r="H512" s="66"/>
      <c r="I512" s="122"/>
      <c r="J512" s="68"/>
      <c r="K512" s="66" t="s">
        <v>6</v>
      </c>
      <c r="L512" s="66"/>
      <c r="M512" s="143" t="s">
        <v>1848</v>
      </c>
      <c r="N512" s="144" t="s">
        <v>6</v>
      </c>
      <c r="O512" s="6" t="s">
        <v>19</v>
      </c>
      <c r="P512" s="5" t="s">
        <v>1160</v>
      </c>
      <c r="Q512" s="5" t="s">
        <v>0</v>
      </c>
      <c r="R512" s="7" t="s">
        <v>232</v>
      </c>
    </row>
    <row r="513" spans="1:18" ht="62.4">
      <c r="A513" s="196" t="str">
        <f>HYPERLINK("http://sipi.sic.gov.co/sipi/View.ashx?4394031","SD2022/0102670")</f>
        <v>SD2022/0102670</v>
      </c>
      <c r="B513" s="8" t="s">
        <v>1272</v>
      </c>
      <c r="C513" s="57" t="s">
        <v>13</v>
      </c>
      <c r="D513" s="104" t="s">
        <v>8</v>
      </c>
      <c r="E513" s="67"/>
      <c r="F513" s="68"/>
      <c r="G513" s="66" t="s">
        <v>6</v>
      </c>
      <c r="H513" s="66"/>
      <c r="I513" s="122"/>
      <c r="J513" s="68"/>
      <c r="K513" s="66" t="s">
        <v>6</v>
      </c>
      <c r="L513" s="66"/>
      <c r="M513" s="143" t="s">
        <v>1848</v>
      </c>
      <c r="N513" s="144" t="s">
        <v>6</v>
      </c>
      <c r="O513" s="6" t="s">
        <v>19</v>
      </c>
      <c r="P513" s="5" t="s">
        <v>1273</v>
      </c>
      <c r="Q513" s="5" t="s">
        <v>0</v>
      </c>
      <c r="R513" s="7" t="s">
        <v>52</v>
      </c>
    </row>
    <row r="514" spans="1:18" ht="78">
      <c r="A514" s="196" t="str">
        <f>HYPERLINK("http://sipi.sic.gov.co/sipi/View.ashx?4394079","SD2022/0102498")</f>
        <v>SD2022/0102498</v>
      </c>
      <c r="B514" s="8" t="s">
        <v>1274</v>
      </c>
      <c r="C514" s="57" t="s">
        <v>7</v>
      </c>
      <c r="D514" s="104" t="s">
        <v>8</v>
      </c>
      <c r="E514" s="67"/>
      <c r="F514" s="68"/>
      <c r="G514" s="66" t="s">
        <v>6</v>
      </c>
      <c r="H514" s="66"/>
      <c r="I514" s="122"/>
      <c r="J514" s="68"/>
      <c r="K514" s="66" t="s">
        <v>6</v>
      </c>
      <c r="L514" s="66"/>
      <c r="M514" s="143" t="s">
        <v>1848</v>
      </c>
      <c r="N514" s="144" t="s">
        <v>6</v>
      </c>
      <c r="O514" s="6" t="s">
        <v>19</v>
      </c>
      <c r="P514" s="5" t="s">
        <v>1275</v>
      </c>
      <c r="Q514" s="5" t="s">
        <v>0</v>
      </c>
      <c r="R514" s="7" t="s">
        <v>1276</v>
      </c>
    </row>
    <row r="515" spans="1:18" ht="78">
      <c r="A515" s="196" t="str">
        <f>HYPERLINK("http://sipi.sic.gov.co/sipi/View.ashx?4394158","SD2022/0102520")</f>
        <v>SD2022/0102520</v>
      </c>
      <c r="B515" s="8" t="s">
        <v>1277</v>
      </c>
      <c r="C515" s="57" t="s">
        <v>7</v>
      </c>
      <c r="D515" s="104" t="s">
        <v>8</v>
      </c>
      <c r="E515" s="67"/>
      <c r="F515" s="68"/>
      <c r="G515" s="66" t="s">
        <v>6</v>
      </c>
      <c r="H515" s="66"/>
      <c r="I515" s="122"/>
      <c r="J515" s="68"/>
      <c r="K515" s="66" t="s">
        <v>6</v>
      </c>
      <c r="L515" s="66"/>
      <c r="M515" s="143" t="s">
        <v>1848</v>
      </c>
      <c r="N515" s="144" t="s">
        <v>6</v>
      </c>
      <c r="O515" s="6" t="s">
        <v>19</v>
      </c>
      <c r="P515" s="5" t="s">
        <v>1275</v>
      </c>
      <c r="Q515" s="5" t="s">
        <v>0</v>
      </c>
      <c r="R515" s="7" t="s">
        <v>1276</v>
      </c>
    </row>
    <row r="516" spans="1:18" ht="78">
      <c r="A516" s="196" t="str">
        <f>HYPERLINK("http://sipi.sic.gov.co/sipi/View.ashx?4394180","SD2022/0102526")</f>
        <v>SD2022/0102526</v>
      </c>
      <c r="B516" s="8" t="s">
        <v>1278</v>
      </c>
      <c r="C516" s="57" t="s">
        <v>7</v>
      </c>
      <c r="D516" s="104" t="s">
        <v>8</v>
      </c>
      <c r="E516" s="67"/>
      <c r="F516" s="68"/>
      <c r="G516" s="66" t="s">
        <v>6</v>
      </c>
      <c r="H516" s="66"/>
      <c r="I516" s="122"/>
      <c r="J516" s="68"/>
      <c r="K516" s="66" t="s">
        <v>6</v>
      </c>
      <c r="L516" s="66"/>
      <c r="M516" s="143" t="s">
        <v>1848</v>
      </c>
      <c r="N516" s="144" t="s">
        <v>6</v>
      </c>
      <c r="O516" s="6" t="s">
        <v>19</v>
      </c>
      <c r="P516" s="5" t="s">
        <v>1275</v>
      </c>
      <c r="Q516" s="5" t="s">
        <v>0</v>
      </c>
      <c r="R516" s="7" t="s">
        <v>1276</v>
      </c>
    </row>
    <row r="517" spans="1:18" ht="62.4">
      <c r="A517" s="196" t="str">
        <f>HYPERLINK("http://sipi.sic.gov.co/sipi/View.ashx?4394537","SD2022/0102920")</f>
        <v>SD2022/0102920</v>
      </c>
      <c r="B517" s="8" t="s">
        <v>1279</v>
      </c>
      <c r="C517" s="57" t="s">
        <v>7</v>
      </c>
      <c r="D517" s="104" t="s">
        <v>8</v>
      </c>
      <c r="E517" s="67"/>
      <c r="F517" s="68"/>
      <c r="G517" s="66" t="s">
        <v>6</v>
      </c>
      <c r="H517" s="66"/>
      <c r="I517" s="122"/>
      <c r="J517" s="68"/>
      <c r="K517" s="66" t="s">
        <v>6</v>
      </c>
      <c r="L517" s="66"/>
      <c r="M517" s="143" t="s">
        <v>1848</v>
      </c>
      <c r="N517" s="144" t="s">
        <v>6</v>
      </c>
      <c r="O517" s="6" t="s">
        <v>9</v>
      </c>
      <c r="P517" s="5" t="s">
        <v>1280</v>
      </c>
      <c r="Q517" s="5" t="s">
        <v>278</v>
      </c>
      <c r="R517" s="7" t="s">
        <v>1281</v>
      </c>
    </row>
    <row r="518" spans="1:18" ht="78">
      <c r="A518" s="196" t="str">
        <f>HYPERLINK("http://sipi.sic.gov.co/sipi/View.ashx?4395424","SD2022/0102865")</f>
        <v>SD2022/0102865</v>
      </c>
      <c r="B518" s="8" t="s">
        <v>1282</v>
      </c>
      <c r="C518" s="57" t="s">
        <v>7</v>
      </c>
      <c r="D518" s="104" t="s">
        <v>8</v>
      </c>
      <c r="E518" s="67"/>
      <c r="F518" s="68"/>
      <c r="G518" s="66" t="s">
        <v>6</v>
      </c>
      <c r="H518" s="66"/>
      <c r="I518" s="122"/>
      <c r="J518" s="68"/>
      <c r="K518" s="66" t="s">
        <v>6</v>
      </c>
      <c r="L518" s="66"/>
      <c r="M518" s="143" t="s">
        <v>1859</v>
      </c>
      <c r="N518" s="144" t="s">
        <v>6</v>
      </c>
      <c r="O518" s="6" t="s">
        <v>19</v>
      </c>
      <c r="P518" s="5" t="s">
        <v>1283</v>
      </c>
      <c r="Q518" s="5" t="s">
        <v>278</v>
      </c>
      <c r="R518" s="7" t="s">
        <v>1284</v>
      </c>
    </row>
    <row r="519" spans="1:18" ht="15.6">
      <c r="A519" s="197" t="str">
        <f>HYPERLINK("http://sipi.sic.gov.co/sipi/View.ashx?4395490","SD2022/0102876")</f>
        <v>SD2022/0102876</v>
      </c>
      <c r="B519" s="156" t="s">
        <v>1285</v>
      </c>
      <c r="C519" s="159" t="s">
        <v>7</v>
      </c>
      <c r="D519" s="160" t="s">
        <v>17</v>
      </c>
      <c r="E519" s="192" t="s">
        <v>1286</v>
      </c>
      <c r="F519" s="161" t="s">
        <v>1789</v>
      </c>
      <c r="G519" s="66" t="s">
        <v>1849</v>
      </c>
      <c r="H519" s="68" t="s">
        <v>19</v>
      </c>
      <c r="I519" s="122"/>
      <c r="J519" s="68"/>
      <c r="K519" s="66"/>
      <c r="L519" s="66"/>
      <c r="M519" s="143" t="s">
        <v>6</v>
      </c>
      <c r="N519" s="144" t="s">
        <v>6</v>
      </c>
      <c r="O519" s="6"/>
      <c r="P519" s="5"/>
      <c r="Q519" s="5"/>
      <c r="R519" s="7"/>
    </row>
    <row r="520" spans="1:18" ht="78">
      <c r="A520" s="198"/>
      <c r="B520" s="156" t="s">
        <v>1285</v>
      </c>
      <c r="C520" s="159" t="s">
        <v>7</v>
      </c>
      <c r="D520" s="160" t="s">
        <v>17</v>
      </c>
      <c r="E520" s="192" t="s">
        <v>1286</v>
      </c>
      <c r="F520" s="161" t="s">
        <v>1789</v>
      </c>
      <c r="G520" s="66" t="s">
        <v>1848</v>
      </c>
      <c r="H520" s="66" t="s">
        <v>9</v>
      </c>
      <c r="I520" s="122"/>
      <c r="J520" s="68"/>
      <c r="M520" s="143" t="s">
        <v>1855</v>
      </c>
      <c r="N520" s="144" t="s">
        <v>1848</v>
      </c>
      <c r="O520" s="6" t="s">
        <v>19</v>
      </c>
      <c r="P520" s="5" t="s">
        <v>1283</v>
      </c>
      <c r="Q520" s="5" t="s">
        <v>278</v>
      </c>
      <c r="R520" s="7" t="s">
        <v>1284</v>
      </c>
    </row>
    <row r="521" spans="1:18" ht="72">
      <c r="A521" s="196" t="str">
        <f>HYPERLINK("http://sipi.sic.gov.co/sipi/View.ashx?4395589","SD2022/0102904")</f>
        <v>SD2022/0102904</v>
      </c>
      <c r="B521" s="8" t="s">
        <v>1287</v>
      </c>
      <c r="C521" s="57" t="s">
        <v>7</v>
      </c>
      <c r="D521" s="104" t="s">
        <v>8</v>
      </c>
      <c r="E521" s="67"/>
      <c r="F521" s="68"/>
      <c r="G521" s="66" t="s">
        <v>6</v>
      </c>
      <c r="H521" s="66"/>
      <c r="I521" s="122"/>
      <c r="J521" s="68"/>
      <c r="K521" s="66" t="s">
        <v>6</v>
      </c>
      <c r="L521" s="66"/>
      <c r="M521" s="143" t="s">
        <v>1848</v>
      </c>
      <c r="N521" s="144" t="s">
        <v>6</v>
      </c>
      <c r="O521" s="6" t="s">
        <v>19</v>
      </c>
      <c r="P521" s="5" t="s">
        <v>1288</v>
      </c>
      <c r="Q521" s="5" t="s">
        <v>0</v>
      </c>
      <c r="R521" s="7" t="s">
        <v>11</v>
      </c>
    </row>
    <row r="522" spans="1:18" ht="72">
      <c r="A522" s="196" t="str">
        <f>HYPERLINK("http://sipi.sic.gov.co/sipi/View.ashx?4395616","SD2022/0102908")</f>
        <v>SD2022/0102908</v>
      </c>
      <c r="B522" s="8" t="s">
        <v>1289</v>
      </c>
      <c r="C522" s="57" t="s">
        <v>7</v>
      </c>
      <c r="D522" s="104" t="s">
        <v>8</v>
      </c>
      <c r="E522" s="67"/>
      <c r="F522" s="68"/>
      <c r="G522" s="66" t="s">
        <v>6</v>
      </c>
      <c r="H522" s="66"/>
      <c r="I522" s="122"/>
      <c r="J522" s="68"/>
      <c r="K522" s="66" t="s">
        <v>6</v>
      </c>
      <c r="L522" s="66"/>
      <c r="M522" s="143" t="s">
        <v>1848</v>
      </c>
      <c r="N522" s="144" t="s">
        <v>6</v>
      </c>
      <c r="O522" s="6" t="s">
        <v>19</v>
      </c>
      <c r="P522" s="5" t="s">
        <v>1288</v>
      </c>
      <c r="Q522" s="5" t="s">
        <v>0</v>
      </c>
      <c r="R522" s="7" t="s">
        <v>11</v>
      </c>
    </row>
    <row r="523" spans="1:18" ht="72">
      <c r="A523" s="196" t="str">
        <f>HYPERLINK("http://sipi.sic.gov.co/sipi/View.ashx?4395638","SD2022/0102912")</f>
        <v>SD2022/0102912</v>
      </c>
      <c r="B523" s="8" t="s">
        <v>1290</v>
      </c>
      <c r="C523" s="57" t="s">
        <v>7</v>
      </c>
      <c r="D523" s="104" t="s">
        <v>8</v>
      </c>
      <c r="E523" s="67"/>
      <c r="F523" s="68"/>
      <c r="G523" s="66" t="s">
        <v>6</v>
      </c>
      <c r="H523" s="66"/>
      <c r="I523" s="122"/>
      <c r="J523" s="68"/>
      <c r="K523" s="66" t="s">
        <v>6</v>
      </c>
      <c r="L523" s="66"/>
      <c r="M523" s="143" t="s">
        <v>1848</v>
      </c>
      <c r="N523" s="144" t="s">
        <v>6</v>
      </c>
      <c r="O523" s="6" t="s">
        <v>19</v>
      </c>
      <c r="P523" s="5" t="s">
        <v>1288</v>
      </c>
      <c r="Q523" s="5" t="s">
        <v>0</v>
      </c>
      <c r="R523" s="7" t="s">
        <v>11</v>
      </c>
    </row>
    <row r="524" spans="1:18" ht="72">
      <c r="A524" s="196" t="str">
        <f>HYPERLINK("http://sipi.sic.gov.co/sipi/View.ashx?4395652","SD2022/0102917")</f>
        <v>SD2022/0102917</v>
      </c>
      <c r="B524" s="8" t="s">
        <v>1291</v>
      </c>
      <c r="C524" s="57" t="s">
        <v>7</v>
      </c>
      <c r="D524" s="104" t="s">
        <v>8</v>
      </c>
      <c r="E524" s="67"/>
      <c r="F524" s="68"/>
      <c r="G524" s="66" t="s">
        <v>6</v>
      </c>
      <c r="H524" s="66"/>
      <c r="I524" s="122"/>
      <c r="J524" s="68"/>
      <c r="K524" s="66" t="s">
        <v>6</v>
      </c>
      <c r="L524" s="66"/>
      <c r="M524" s="143" t="s">
        <v>1848</v>
      </c>
      <c r="N524" s="144" t="s">
        <v>6</v>
      </c>
      <c r="O524" s="6" t="s">
        <v>19</v>
      </c>
      <c r="P524" s="5" t="s">
        <v>1288</v>
      </c>
      <c r="Q524" s="5" t="s">
        <v>0</v>
      </c>
      <c r="R524" s="7" t="s">
        <v>11</v>
      </c>
    </row>
    <row r="525" spans="1:18" ht="72">
      <c r="A525" s="196" t="str">
        <f>HYPERLINK("http://sipi.sic.gov.co/sipi/View.ashx?4395673","SD2022/0102921")</f>
        <v>SD2022/0102921</v>
      </c>
      <c r="B525" s="8" t="s">
        <v>1292</v>
      </c>
      <c r="C525" s="57" t="s">
        <v>7</v>
      </c>
      <c r="D525" s="104" t="s">
        <v>8</v>
      </c>
      <c r="E525" s="67"/>
      <c r="F525" s="68"/>
      <c r="G525" s="66" t="s">
        <v>6</v>
      </c>
      <c r="H525" s="66"/>
      <c r="I525" s="122"/>
      <c r="J525" s="68"/>
      <c r="K525" s="66" t="s">
        <v>6</v>
      </c>
      <c r="L525" s="66"/>
      <c r="M525" s="143" t="s">
        <v>1848</v>
      </c>
      <c r="N525" s="144" t="s">
        <v>6</v>
      </c>
      <c r="O525" s="6" t="s">
        <v>19</v>
      </c>
      <c r="P525" s="5" t="s">
        <v>1288</v>
      </c>
      <c r="Q525" s="5" t="s">
        <v>0</v>
      </c>
      <c r="R525" s="7" t="s">
        <v>11</v>
      </c>
    </row>
    <row r="526" spans="1:18" ht="72">
      <c r="A526" s="196" t="str">
        <f>HYPERLINK("http://sipi.sic.gov.co/sipi/View.ashx?4395778","SD2022/0102947")</f>
        <v>SD2022/0102947</v>
      </c>
      <c r="B526" s="8" t="s">
        <v>1293</v>
      </c>
      <c r="C526" s="57" t="s">
        <v>7</v>
      </c>
      <c r="D526" s="104" t="s">
        <v>8</v>
      </c>
      <c r="E526" s="67"/>
      <c r="F526" s="68"/>
      <c r="G526" s="66" t="s">
        <v>6</v>
      </c>
      <c r="H526" s="66"/>
      <c r="I526" s="122"/>
      <c r="J526" s="68"/>
      <c r="K526" s="66" t="s">
        <v>6</v>
      </c>
      <c r="L526" s="66"/>
      <c r="M526" s="143" t="s">
        <v>1848</v>
      </c>
      <c r="N526" s="144" t="s">
        <v>6</v>
      </c>
      <c r="O526" s="6" t="s">
        <v>19</v>
      </c>
      <c r="P526" s="5" t="s">
        <v>1288</v>
      </c>
      <c r="Q526" s="5" t="s">
        <v>0</v>
      </c>
      <c r="R526" s="7" t="s">
        <v>11</v>
      </c>
    </row>
    <row r="527" spans="1:18" ht="72">
      <c r="A527" s="196" t="str">
        <f>HYPERLINK("http://sipi.sic.gov.co/sipi/View.ashx?4396313","SD2022/0103094")</f>
        <v>SD2022/0103094</v>
      </c>
      <c r="B527" s="8" t="s">
        <v>1294</v>
      </c>
      <c r="C527" s="57" t="s">
        <v>7</v>
      </c>
      <c r="D527" s="104" t="s">
        <v>17</v>
      </c>
      <c r="E527" s="67" t="s">
        <v>1295</v>
      </c>
      <c r="F527" s="68" t="s">
        <v>1790</v>
      </c>
      <c r="G527" s="66" t="s">
        <v>1848</v>
      </c>
      <c r="H527" s="66" t="s">
        <v>19</v>
      </c>
      <c r="I527" s="122"/>
      <c r="J527" s="68"/>
      <c r="K527" s="66" t="s">
        <v>6</v>
      </c>
      <c r="L527" s="66"/>
      <c r="M527" s="143" t="s">
        <v>1848</v>
      </c>
      <c r="N527" s="144" t="s">
        <v>6</v>
      </c>
      <c r="O527" s="6" t="s">
        <v>9</v>
      </c>
      <c r="P527" s="5" t="s">
        <v>1296</v>
      </c>
      <c r="Q527" s="5" t="s">
        <v>0</v>
      </c>
      <c r="R527" s="7" t="s">
        <v>11</v>
      </c>
    </row>
    <row r="528" spans="1:18" ht="115.2">
      <c r="A528" s="196" t="str">
        <f>HYPERLINK("http://sipi.sic.gov.co/sipi/View.ashx?4396478","SD2022/0103239")</f>
        <v>SD2022/0103239</v>
      </c>
      <c r="B528" s="8" t="s">
        <v>1297</v>
      </c>
      <c r="C528" s="57" t="s">
        <v>7</v>
      </c>
      <c r="D528" s="104" t="s">
        <v>8</v>
      </c>
      <c r="E528" s="67"/>
      <c r="F528" s="68"/>
      <c r="G528" s="66" t="s">
        <v>6</v>
      </c>
      <c r="H528" s="66"/>
      <c r="I528" s="122"/>
      <c r="J528" s="68"/>
      <c r="K528" s="66" t="s">
        <v>6</v>
      </c>
      <c r="L528" s="66"/>
      <c r="M528" s="143" t="s">
        <v>1848</v>
      </c>
      <c r="N528" s="144" t="s">
        <v>6</v>
      </c>
      <c r="O528" s="6" t="s">
        <v>9</v>
      </c>
      <c r="P528" s="5" t="s">
        <v>1298</v>
      </c>
      <c r="Q528" s="5" t="s">
        <v>23</v>
      </c>
      <c r="R528" s="7" t="s">
        <v>292</v>
      </c>
    </row>
    <row r="529" spans="1:18" ht="144">
      <c r="A529" s="196" t="str">
        <f>HYPERLINK("http://sipi.sic.gov.co/sipi/View.ashx?4398953","SD2022/0103682")</f>
        <v>SD2022/0103682</v>
      </c>
      <c r="B529" s="8" t="s">
        <v>1299</v>
      </c>
      <c r="C529" s="57" t="s">
        <v>13</v>
      </c>
      <c r="D529" s="104" t="s">
        <v>8</v>
      </c>
      <c r="E529" s="67"/>
      <c r="F529" s="68"/>
      <c r="G529" s="66" t="s">
        <v>6</v>
      </c>
      <c r="H529" s="66"/>
      <c r="I529" s="122"/>
      <c r="J529" s="68"/>
      <c r="K529" s="66" t="s">
        <v>6</v>
      </c>
      <c r="L529" s="66"/>
      <c r="M529" s="143" t="s">
        <v>1848</v>
      </c>
      <c r="N529" s="144" t="s">
        <v>6</v>
      </c>
      <c r="O529" s="6" t="s">
        <v>9</v>
      </c>
      <c r="P529" s="5" t="s">
        <v>1300</v>
      </c>
      <c r="Q529" s="5" t="s">
        <v>0</v>
      </c>
      <c r="R529" s="7" t="s">
        <v>1301</v>
      </c>
    </row>
    <row r="530" spans="1:18" ht="57.6">
      <c r="A530" s="196" t="str">
        <f>HYPERLINK("http://sipi.sic.gov.co/sipi/View.ashx?4402339","SD2022/0104500")</f>
        <v>SD2022/0104500</v>
      </c>
      <c r="B530" s="8" t="s">
        <v>1302</v>
      </c>
      <c r="C530" s="57" t="s">
        <v>7</v>
      </c>
      <c r="D530" s="104" t="s">
        <v>8</v>
      </c>
      <c r="E530" s="67"/>
      <c r="F530" s="68"/>
      <c r="G530" s="66" t="s">
        <v>6</v>
      </c>
      <c r="H530" s="66"/>
      <c r="I530" s="122"/>
      <c r="J530" s="68"/>
      <c r="K530" s="66" t="s">
        <v>6</v>
      </c>
      <c r="L530" s="66"/>
      <c r="M530" s="143" t="s">
        <v>1848</v>
      </c>
      <c r="N530" s="144" t="s">
        <v>6</v>
      </c>
      <c r="O530" s="6" t="s">
        <v>9</v>
      </c>
      <c r="P530" s="5" t="s">
        <v>1303</v>
      </c>
      <c r="Q530" s="5" t="s">
        <v>0</v>
      </c>
      <c r="R530" s="7" t="s">
        <v>1304</v>
      </c>
    </row>
    <row r="531" spans="1:18" ht="78">
      <c r="A531" s="196" t="str">
        <f>HYPERLINK("http://sipi.sic.gov.co/sipi/View.ashx?4405763","SD2022/0105929")</f>
        <v>SD2022/0105929</v>
      </c>
      <c r="B531" s="8" t="s">
        <v>1305</v>
      </c>
      <c r="C531" s="57" t="s">
        <v>7</v>
      </c>
      <c r="D531" s="104" t="s">
        <v>8</v>
      </c>
      <c r="E531" s="67"/>
      <c r="F531" s="68"/>
      <c r="G531" s="66" t="s">
        <v>6</v>
      </c>
      <c r="H531" s="66"/>
      <c r="I531" s="122"/>
      <c r="J531" s="68"/>
      <c r="K531" s="66" t="s">
        <v>6</v>
      </c>
      <c r="L531" s="66"/>
      <c r="M531" s="143" t="s">
        <v>1848</v>
      </c>
      <c r="N531" s="144" t="s">
        <v>6</v>
      </c>
      <c r="O531" s="6" t="s">
        <v>9</v>
      </c>
      <c r="P531" s="5" t="s">
        <v>1306</v>
      </c>
      <c r="Q531" s="5" t="s">
        <v>0</v>
      </c>
      <c r="R531" s="7" t="s">
        <v>1307</v>
      </c>
    </row>
    <row r="532" spans="1:18" ht="129.6">
      <c r="A532" s="196" t="str">
        <f>HYPERLINK("http://sipi.sic.gov.co/sipi/View.ashx?4406351","SD2022/0105906")</f>
        <v>SD2022/0105906</v>
      </c>
      <c r="B532" s="8" t="s">
        <v>1308</v>
      </c>
      <c r="C532" s="57" t="s">
        <v>7</v>
      </c>
      <c r="D532" s="104" t="s">
        <v>17</v>
      </c>
      <c r="E532" s="67" t="s">
        <v>1309</v>
      </c>
      <c r="F532" s="68" t="s">
        <v>1791</v>
      </c>
      <c r="G532" s="66" t="s">
        <v>1848</v>
      </c>
      <c r="H532" s="66" t="s">
        <v>9</v>
      </c>
      <c r="I532" s="122"/>
      <c r="J532" s="68"/>
      <c r="K532" s="66" t="s">
        <v>6</v>
      </c>
      <c r="L532" s="66"/>
      <c r="M532" s="143" t="s">
        <v>1848</v>
      </c>
      <c r="N532" s="144" t="s">
        <v>6</v>
      </c>
      <c r="O532" s="6" t="s">
        <v>9</v>
      </c>
      <c r="P532" s="5" t="s">
        <v>1310</v>
      </c>
      <c r="Q532" s="5" t="s">
        <v>0</v>
      </c>
      <c r="R532" s="7" t="s">
        <v>1311</v>
      </c>
    </row>
    <row r="533" spans="1:18" ht="100.8">
      <c r="A533" s="196" t="str">
        <f>HYPERLINK("http://sipi.sic.gov.co/sipi/View.ashx?4406363","SD2022/0105895")</f>
        <v>SD2022/0105895</v>
      </c>
      <c r="B533" s="8" t="s">
        <v>1312</v>
      </c>
      <c r="C533" s="57" t="s">
        <v>7</v>
      </c>
      <c r="D533" s="104" t="s">
        <v>8</v>
      </c>
      <c r="E533" s="67"/>
      <c r="F533" s="68"/>
      <c r="G533" s="66" t="s">
        <v>6</v>
      </c>
      <c r="H533" s="66"/>
      <c r="I533" s="122"/>
      <c r="J533" s="68"/>
      <c r="K533" s="66" t="s">
        <v>6</v>
      </c>
      <c r="L533" s="66"/>
      <c r="M533" s="143" t="s">
        <v>1848</v>
      </c>
      <c r="N533" s="144" t="s">
        <v>6</v>
      </c>
      <c r="O533" s="6" t="s">
        <v>9</v>
      </c>
      <c r="P533" s="5" t="s">
        <v>1310</v>
      </c>
      <c r="Q533" s="5" t="s">
        <v>0</v>
      </c>
      <c r="R533" s="7" t="s">
        <v>1313</v>
      </c>
    </row>
    <row r="534" spans="1:18" ht="115.2">
      <c r="A534" s="196" t="str">
        <f>HYPERLINK("http://sipi.sic.gov.co/sipi/View.ashx?4406380","SD2022/0105890")</f>
        <v>SD2022/0105890</v>
      </c>
      <c r="B534" s="8" t="s">
        <v>1314</v>
      </c>
      <c r="C534" s="57" t="s">
        <v>7</v>
      </c>
      <c r="D534" s="104" t="s">
        <v>8</v>
      </c>
      <c r="E534" s="67"/>
      <c r="F534" s="68"/>
      <c r="G534" s="66" t="s">
        <v>6</v>
      </c>
      <c r="H534" s="66"/>
      <c r="I534" s="122"/>
      <c r="J534" s="68"/>
      <c r="K534" s="66" t="s">
        <v>6</v>
      </c>
      <c r="L534" s="66"/>
      <c r="M534" s="143" t="s">
        <v>1848</v>
      </c>
      <c r="N534" s="144" t="s">
        <v>6</v>
      </c>
      <c r="O534" s="6" t="s">
        <v>9</v>
      </c>
      <c r="P534" s="5" t="s">
        <v>1310</v>
      </c>
      <c r="Q534" s="5" t="s">
        <v>0</v>
      </c>
      <c r="R534" s="7" t="s">
        <v>1315</v>
      </c>
    </row>
    <row r="535" spans="1:18" ht="409.6">
      <c r="A535" s="196" t="str">
        <f>HYPERLINK("http://sipi.sic.gov.co/sipi/View.ashx?4408862","SD2022/0106249")</f>
        <v>SD2022/0106249</v>
      </c>
      <c r="B535" s="8" t="s">
        <v>1316</v>
      </c>
      <c r="C535" s="57" t="s">
        <v>13</v>
      </c>
      <c r="D535" s="104" t="s">
        <v>17</v>
      </c>
      <c r="E535" s="67" t="s">
        <v>267</v>
      </c>
      <c r="F535" s="68" t="s">
        <v>1722</v>
      </c>
      <c r="G535" s="66" t="s">
        <v>1848</v>
      </c>
      <c r="H535" s="66" t="s">
        <v>9</v>
      </c>
      <c r="I535" s="122"/>
      <c r="J535" s="68"/>
      <c r="K535" s="66" t="s">
        <v>6</v>
      </c>
      <c r="L535" s="66"/>
      <c r="M535" s="143" t="s">
        <v>1848</v>
      </c>
      <c r="N535" s="144" t="s">
        <v>1856</v>
      </c>
      <c r="O535" s="6" t="s">
        <v>19</v>
      </c>
      <c r="P535" s="5" t="s">
        <v>1232</v>
      </c>
      <c r="Q535" s="5" t="s">
        <v>0</v>
      </c>
      <c r="R535" s="7" t="s">
        <v>1233</v>
      </c>
    </row>
    <row r="536" spans="1:18" ht="409.6">
      <c r="A536" s="196" t="str">
        <f>HYPERLINK("http://sipi.sic.gov.co/sipi/View.ashx?4408886","SD2022/0106256")</f>
        <v>SD2022/0106256</v>
      </c>
      <c r="B536" s="8" t="s">
        <v>1317</v>
      </c>
      <c r="C536" s="57" t="s">
        <v>13</v>
      </c>
      <c r="D536" s="105" t="s">
        <v>8</v>
      </c>
      <c r="E536" s="67"/>
      <c r="F536" s="68"/>
      <c r="G536" s="66"/>
      <c r="H536" s="66"/>
      <c r="I536" s="122"/>
      <c r="J536" s="68"/>
      <c r="K536" s="66" t="s">
        <v>6</v>
      </c>
      <c r="L536" s="66"/>
      <c r="M536" s="143" t="s">
        <v>1848</v>
      </c>
      <c r="N536" s="144" t="s">
        <v>1856</v>
      </c>
      <c r="O536" s="6" t="s">
        <v>19</v>
      </c>
      <c r="P536" s="5" t="s">
        <v>1232</v>
      </c>
      <c r="Q536" s="5" t="s">
        <v>0</v>
      </c>
      <c r="R536" s="7" t="s">
        <v>1233</v>
      </c>
    </row>
    <row r="537" spans="1:18" ht="72">
      <c r="A537" s="196" t="str">
        <f>HYPERLINK("http://sipi.sic.gov.co/sipi/View.ashx?4410408","SD2022/0106505")</f>
        <v>SD2022/0106505</v>
      </c>
      <c r="B537" s="8" t="s">
        <v>1318</v>
      </c>
      <c r="C537" s="57" t="s">
        <v>7</v>
      </c>
      <c r="D537" s="104" t="s">
        <v>8</v>
      </c>
      <c r="E537" s="67"/>
      <c r="F537" s="68"/>
      <c r="G537" s="66" t="s">
        <v>6</v>
      </c>
      <c r="H537" s="66"/>
      <c r="I537" s="122"/>
      <c r="J537" s="68"/>
      <c r="K537" s="66" t="s">
        <v>6</v>
      </c>
      <c r="L537" s="66"/>
      <c r="M537" s="143" t="s">
        <v>1849</v>
      </c>
      <c r="N537" s="144" t="s">
        <v>6</v>
      </c>
      <c r="O537" s="6" t="s">
        <v>19</v>
      </c>
      <c r="P537" s="5" t="s">
        <v>1319</v>
      </c>
      <c r="Q537" s="5" t="s">
        <v>0</v>
      </c>
      <c r="R537" s="7" t="s">
        <v>11</v>
      </c>
    </row>
    <row r="538" spans="1:18" ht="72">
      <c r="A538" s="196" t="str">
        <f>HYPERLINK("http://sipi.sic.gov.co/sipi/View.ashx?4412181","SD2022/0106940")</f>
        <v>SD2022/0106940</v>
      </c>
      <c r="B538" s="8" t="s">
        <v>1320</v>
      </c>
      <c r="C538" s="57" t="s">
        <v>7</v>
      </c>
      <c r="D538" s="104" t="s">
        <v>8</v>
      </c>
      <c r="E538" s="67"/>
      <c r="F538" s="68"/>
      <c r="G538" s="66" t="s">
        <v>6</v>
      </c>
      <c r="H538" s="66"/>
      <c r="I538" s="122"/>
      <c r="J538" s="68"/>
      <c r="K538" s="66" t="s">
        <v>6</v>
      </c>
      <c r="L538" s="66"/>
      <c r="M538" s="143" t="s">
        <v>1848</v>
      </c>
      <c r="N538" s="144" t="s">
        <v>6</v>
      </c>
      <c r="O538" s="6" t="s">
        <v>19</v>
      </c>
      <c r="P538" s="5" t="s">
        <v>1319</v>
      </c>
      <c r="Q538" s="5" t="s">
        <v>0</v>
      </c>
      <c r="R538" s="7" t="s">
        <v>11</v>
      </c>
    </row>
    <row r="539" spans="1:18" ht="72">
      <c r="A539" s="196" t="str">
        <f>HYPERLINK("http://sipi.sic.gov.co/sipi/View.ashx?4412280","SD2022/0106947")</f>
        <v>SD2022/0106947</v>
      </c>
      <c r="B539" s="8" t="s">
        <v>1321</v>
      </c>
      <c r="C539" s="57" t="s">
        <v>7</v>
      </c>
      <c r="D539" s="104" t="s">
        <v>8</v>
      </c>
      <c r="E539" s="67"/>
      <c r="F539" s="68"/>
      <c r="G539" s="66" t="s">
        <v>6</v>
      </c>
      <c r="H539" s="66"/>
      <c r="I539" s="122"/>
      <c r="J539" s="68"/>
      <c r="K539" s="66" t="s">
        <v>6</v>
      </c>
      <c r="L539" s="66"/>
      <c r="M539" s="143" t="s">
        <v>1849</v>
      </c>
      <c r="N539" s="144" t="s">
        <v>6</v>
      </c>
      <c r="O539" s="6" t="s">
        <v>19</v>
      </c>
      <c r="P539" s="5" t="s">
        <v>1319</v>
      </c>
      <c r="Q539" s="5" t="s">
        <v>0</v>
      </c>
      <c r="R539" s="7" t="s">
        <v>11</v>
      </c>
    </row>
    <row r="540" spans="1:18" ht="72">
      <c r="A540" s="196" t="str">
        <f>HYPERLINK("http://sipi.sic.gov.co/sipi/View.ashx?4412370","SD2022/0106999")</f>
        <v>SD2022/0106999</v>
      </c>
      <c r="B540" s="8" t="s">
        <v>1322</v>
      </c>
      <c r="C540" s="57" t="s">
        <v>7</v>
      </c>
      <c r="D540" s="104" t="s">
        <v>8</v>
      </c>
      <c r="E540" s="67"/>
      <c r="F540" s="68"/>
      <c r="G540" s="66" t="s">
        <v>6</v>
      </c>
      <c r="H540" s="66"/>
      <c r="I540" s="122"/>
      <c r="J540" s="68"/>
      <c r="K540" s="66" t="s">
        <v>6</v>
      </c>
      <c r="L540" s="66"/>
      <c r="M540" s="143" t="s">
        <v>1848</v>
      </c>
      <c r="N540" s="144" t="s">
        <v>6</v>
      </c>
      <c r="O540" s="6" t="s">
        <v>19</v>
      </c>
      <c r="P540" s="5" t="s">
        <v>1319</v>
      </c>
      <c r="Q540" s="5" t="s">
        <v>0</v>
      </c>
      <c r="R540" s="7" t="s">
        <v>11</v>
      </c>
    </row>
    <row r="541" spans="1:18" ht="100.8">
      <c r="A541" s="196" t="str">
        <f>HYPERLINK("http://sipi.sic.gov.co/sipi/View.ashx?4412884","SD2022/0109340")</f>
        <v>SD2022/0109340</v>
      </c>
      <c r="B541" s="8" t="s">
        <v>1323</v>
      </c>
      <c r="C541" s="57" t="s">
        <v>13</v>
      </c>
      <c r="D541" s="104" t="s">
        <v>8</v>
      </c>
      <c r="E541" s="67"/>
      <c r="F541" s="68"/>
      <c r="G541" s="66" t="s">
        <v>6</v>
      </c>
      <c r="H541" s="66"/>
      <c r="I541" s="122"/>
      <c r="J541" s="68"/>
      <c r="K541" s="66" t="s">
        <v>6</v>
      </c>
      <c r="L541" s="66"/>
      <c r="M541" s="143" t="s">
        <v>1848</v>
      </c>
      <c r="N541" s="144" t="s">
        <v>6</v>
      </c>
      <c r="O541" s="6" t="s">
        <v>9</v>
      </c>
      <c r="P541" s="5" t="s">
        <v>1324</v>
      </c>
      <c r="Q541" s="5" t="s">
        <v>23</v>
      </c>
      <c r="R541" s="7" t="s">
        <v>1325</v>
      </c>
    </row>
    <row r="542" spans="1:18" ht="129.6">
      <c r="A542" s="196" t="str">
        <f>HYPERLINK("http://sipi.sic.gov.co/sipi/View.ashx?4413040","SD2022/0107281")</f>
        <v>SD2022/0107281</v>
      </c>
      <c r="B542" s="8" t="s">
        <v>1326</v>
      </c>
      <c r="C542" s="57" t="s">
        <v>13</v>
      </c>
      <c r="D542" s="104" t="s">
        <v>8</v>
      </c>
      <c r="E542" s="67"/>
      <c r="F542" s="68"/>
      <c r="G542" s="66" t="s">
        <v>6</v>
      </c>
      <c r="H542" s="66"/>
      <c r="I542" s="122"/>
      <c r="J542" s="68"/>
      <c r="K542" s="66" t="s">
        <v>6</v>
      </c>
      <c r="L542" s="66"/>
      <c r="M542" s="143" t="s">
        <v>1848</v>
      </c>
      <c r="N542" s="144" t="s">
        <v>6</v>
      </c>
      <c r="O542" s="6" t="s">
        <v>19</v>
      </c>
      <c r="P542" s="5" t="s">
        <v>1327</v>
      </c>
      <c r="Q542" s="5" t="s">
        <v>0</v>
      </c>
      <c r="R542" s="7" t="s">
        <v>1328</v>
      </c>
    </row>
    <row r="543" spans="1:18" ht="57.6">
      <c r="A543" s="196" t="str">
        <f>HYPERLINK("http://sipi.sic.gov.co/sipi/View.ashx?4416305","SD2022/0108251")</f>
        <v>SD2022/0108251</v>
      </c>
      <c r="B543" s="8" t="s">
        <v>1329</v>
      </c>
      <c r="C543" s="57" t="s">
        <v>13</v>
      </c>
      <c r="D543" s="104" t="s">
        <v>8</v>
      </c>
      <c r="E543" s="67"/>
      <c r="F543" s="68"/>
      <c r="G543" s="66" t="s">
        <v>6</v>
      </c>
      <c r="H543" s="66"/>
      <c r="I543" s="122"/>
      <c r="J543" s="68"/>
      <c r="K543" s="66" t="s">
        <v>6</v>
      </c>
      <c r="L543" s="66"/>
      <c r="M543" s="143" t="s">
        <v>1848</v>
      </c>
      <c r="N543" s="144" t="s">
        <v>6</v>
      </c>
      <c r="O543" s="6" t="s">
        <v>9</v>
      </c>
      <c r="P543" s="5" t="s">
        <v>1330</v>
      </c>
      <c r="Q543" s="5" t="s">
        <v>0</v>
      </c>
      <c r="R543" s="7" t="s">
        <v>1331</v>
      </c>
    </row>
    <row r="544" spans="1:18" ht="57.6">
      <c r="A544" s="196" t="str">
        <f>HYPERLINK("http://sipi.sic.gov.co/sipi/View.ashx?4416712","SD2022/0108387")</f>
        <v>SD2022/0108387</v>
      </c>
      <c r="B544" s="8" t="s">
        <v>1332</v>
      </c>
      <c r="C544" s="57" t="s">
        <v>7</v>
      </c>
      <c r="D544" s="104" t="s">
        <v>8</v>
      </c>
      <c r="E544" s="67"/>
      <c r="F544" s="68"/>
      <c r="G544" s="66" t="s">
        <v>6</v>
      </c>
      <c r="H544" s="66"/>
      <c r="I544" s="122"/>
      <c r="J544" s="68"/>
      <c r="K544" s="66" t="s">
        <v>6</v>
      </c>
      <c r="L544" s="66"/>
      <c r="M544" s="143" t="s">
        <v>1848</v>
      </c>
      <c r="N544" s="144" t="s">
        <v>6</v>
      </c>
      <c r="O544" s="6" t="s">
        <v>9</v>
      </c>
      <c r="P544" s="5" t="s">
        <v>1203</v>
      </c>
      <c r="Q544" s="5" t="s">
        <v>0</v>
      </c>
      <c r="R544" s="7" t="s">
        <v>1204</v>
      </c>
    </row>
    <row r="545" spans="1:18" ht="57.6">
      <c r="A545" s="196" t="str">
        <f>HYPERLINK("http://sipi.sic.gov.co/sipi/View.ashx?4416770","SD2022/0108406")</f>
        <v>SD2022/0108406</v>
      </c>
      <c r="B545" s="8" t="s">
        <v>1333</v>
      </c>
      <c r="C545" s="57" t="s">
        <v>7</v>
      </c>
      <c r="D545" s="104" t="s">
        <v>17</v>
      </c>
      <c r="E545" s="95" t="s">
        <v>1334</v>
      </c>
      <c r="F545" s="68" t="s">
        <v>1792</v>
      </c>
      <c r="G545" s="66" t="s">
        <v>1848</v>
      </c>
      <c r="H545" s="66" t="s">
        <v>9</v>
      </c>
      <c r="I545" s="122"/>
      <c r="J545" s="68"/>
      <c r="K545" s="66" t="s">
        <v>6</v>
      </c>
      <c r="L545" s="66"/>
      <c r="M545" s="143" t="s">
        <v>1848</v>
      </c>
      <c r="N545" s="144" t="s">
        <v>6</v>
      </c>
      <c r="O545" s="6" t="s">
        <v>9</v>
      </c>
      <c r="P545" s="5" t="s">
        <v>1203</v>
      </c>
      <c r="Q545" s="5" t="s">
        <v>0</v>
      </c>
      <c r="R545" s="7" t="s">
        <v>1204</v>
      </c>
    </row>
    <row r="546" spans="1:18" ht="57.6">
      <c r="A546" s="196" t="str">
        <f>HYPERLINK("http://sipi.sic.gov.co/sipi/View.ashx?4417211","SD2022/0108497")</f>
        <v>SD2022/0108497</v>
      </c>
      <c r="B546" s="8" t="s">
        <v>1335</v>
      </c>
      <c r="C546" s="57" t="s">
        <v>13</v>
      </c>
      <c r="D546" s="104" t="s">
        <v>17</v>
      </c>
      <c r="E546" s="67" t="s">
        <v>514</v>
      </c>
      <c r="F546" s="68" t="s">
        <v>1717</v>
      </c>
      <c r="G546" s="66" t="s">
        <v>1848</v>
      </c>
      <c r="H546" s="66" t="s">
        <v>19</v>
      </c>
      <c r="I546" s="122"/>
      <c r="J546" s="68"/>
      <c r="K546" s="66" t="s">
        <v>6</v>
      </c>
      <c r="L546" s="66"/>
      <c r="M546" s="143" t="s">
        <v>1848</v>
      </c>
      <c r="N546" s="144" t="s">
        <v>6</v>
      </c>
      <c r="O546" s="6" t="s">
        <v>9</v>
      </c>
      <c r="P546" s="5" t="s">
        <v>1203</v>
      </c>
      <c r="Q546" s="5" t="s">
        <v>0</v>
      </c>
      <c r="R546" s="7" t="s">
        <v>1204</v>
      </c>
    </row>
    <row r="547" spans="1:18" ht="62.4">
      <c r="A547" s="196" t="str">
        <f>HYPERLINK("http://sipi.sic.gov.co/sipi/View.ashx?4417511","SD2022/0108575")</f>
        <v>SD2022/0108575</v>
      </c>
      <c r="B547" s="8" t="s">
        <v>1336</v>
      </c>
      <c r="C547" s="57" t="s">
        <v>7</v>
      </c>
      <c r="D547" s="104" t="s">
        <v>8</v>
      </c>
      <c r="E547" s="67"/>
      <c r="F547" s="68"/>
      <c r="G547" s="66" t="s">
        <v>6</v>
      </c>
      <c r="H547" s="66"/>
      <c r="I547" s="122"/>
      <c r="J547" s="68"/>
      <c r="K547" s="66" t="s">
        <v>6</v>
      </c>
      <c r="L547" s="66"/>
      <c r="M547" s="143" t="s">
        <v>1848</v>
      </c>
      <c r="N547" s="144" t="s">
        <v>6</v>
      </c>
      <c r="O547" s="6" t="s">
        <v>19</v>
      </c>
      <c r="P547" s="5" t="s">
        <v>1337</v>
      </c>
      <c r="Q547" s="5" t="s">
        <v>0</v>
      </c>
      <c r="R547" s="7" t="s">
        <v>1338</v>
      </c>
    </row>
    <row r="548" spans="1:18" ht="78">
      <c r="A548" s="196" t="str">
        <f>HYPERLINK("http://sipi.sic.gov.co/sipi/View.ashx?4419710","SD2022/0109070")</f>
        <v>SD2022/0109070</v>
      </c>
      <c r="B548" s="8" t="s">
        <v>1339</v>
      </c>
      <c r="C548" s="57" t="s">
        <v>7</v>
      </c>
      <c r="D548" s="104" t="s">
        <v>8</v>
      </c>
      <c r="E548" s="67"/>
      <c r="F548" s="68"/>
      <c r="G548" s="66" t="s">
        <v>6</v>
      </c>
      <c r="H548" s="66"/>
      <c r="I548" s="122"/>
      <c r="J548" s="68"/>
      <c r="K548" s="66" t="s">
        <v>6</v>
      </c>
      <c r="L548" s="66"/>
      <c r="M548" s="143" t="s">
        <v>1848</v>
      </c>
      <c r="N548" s="144" t="s">
        <v>6</v>
      </c>
      <c r="O548" s="6" t="s">
        <v>9</v>
      </c>
      <c r="P548" s="5" t="s">
        <v>231</v>
      </c>
      <c r="Q548" s="5" t="s">
        <v>0</v>
      </c>
      <c r="R548" s="7" t="s">
        <v>232</v>
      </c>
    </row>
    <row r="549" spans="1:18" ht="46.8">
      <c r="A549" s="196" t="str">
        <f>HYPERLINK("http://sipi.sic.gov.co/sipi/View.ashx?4420526","SD2022/0109757")</f>
        <v>SD2022/0109757</v>
      </c>
      <c r="B549" s="8" t="s">
        <v>1340</v>
      </c>
      <c r="C549" s="57" t="s">
        <v>7</v>
      </c>
      <c r="D549" s="104" t="s">
        <v>17</v>
      </c>
      <c r="E549" s="220" t="s">
        <v>1846</v>
      </c>
      <c r="F549" s="68" t="s">
        <v>1746</v>
      </c>
      <c r="G549" s="66" t="s">
        <v>1848</v>
      </c>
      <c r="H549" s="66" t="s">
        <v>19</v>
      </c>
      <c r="I549" s="122"/>
      <c r="J549" s="68"/>
      <c r="K549" s="66" t="s">
        <v>6</v>
      </c>
      <c r="L549" s="66"/>
      <c r="M549" s="143" t="s">
        <v>1848</v>
      </c>
      <c r="N549" s="144" t="s">
        <v>6</v>
      </c>
      <c r="O549" s="6" t="s">
        <v>19</v>
      </c>
      <c r="P549" s="5" t="s">
        <v>1341</v>
      </c>
      <c r="Q549" s="5" t="s">
        <v>0</v>
      </c>
      <c r="R549" s="7" t="s">
        <v>1342</v>
      </c>
    </row>
    <row r="550" spans="1:18" ht="78">
      <c r="A550" s="196" t="str">
        <f>HYPERLINK("http://sipi.sic.gov.co/sipi/View.ashx?4422058","SD2022/0109795")</f>
        <v>SD2022/0109795</v>
      </c>
      <c r="B550" s="8" t="s">
        <v>1343</v>
      </c>
      <c r="C550" s="57" t="s">
        <v>13</v>
      </c>
      <c r="D550" s="104" t="s">
        <v>8</v>
      </c>
      <c r="E550" s="67"/>
      <c r="F550" s="68"/>
      <c r="G550" s="66" t="s">
        <v>6</v>
      </c>
      <c r="H550" s="66"/>
      <c r="I550" s="122"/>
      <c r="J550" s="68"/>
      <c r="K550" s="66" t="s">
        <v>6</v>
      </c>
      <c r="L550" s="66"/>
      <c r="M550" s="143" t="s">
        <v>1848</v>
      </c>
      <c r="N550" s="144" t="s">
        <v>6</v>
      </c>
      <c r="O550" s="6" t="s">
        <v>9</v>
      </c>
      <c r="P550" s="5" t="s">
        <v>1344</v>
      </c>
      <c r="Q550" s="5" t="s">
        <v>0</v>
      </c>
      <c r="R550" s="7" t="s">
        <v>1345</v>
      </c>
    </row>
    <row r="551" spans="1:18" ht="46.8">
      <c r="A551" s="196" t="str">
        <f>HYPERLINK("http://sipi.sic.gov.co/sipi/View.ashx?4422682","SD2022/0109825")</f>
        <v>SD2022/0109825</v>
      </c>
      <c r="B551" s="8" t="s">
        <v>1346</v>
      </c>
      <c r="C551" s="57" t="s">
        <v>7</v>
      </c>
      <c r="D551" s="104" t="s">
        <v>8</v>
      </c>
      <c r="E551" s="67"/>
      <c r="F551" s="68"/>
      <c r="G551" s="66" t="s">
        <v>6</v>
      </c>
      <c r="H551" s="66"/>
      <c r="I551" s="122"/>
      <c r="J551" s="68"/>
      <c r="K551" s="66" t="s">
        <v>6</v>
      </c>
      <c r="L551" s="66"/>
      <c r="M551" s="143" t="s">
        <v>1848</v>
      </c>
      <c r="N551" s="144" t="s">
        <v>6</v>
      </c>
      <c r="O551" s="6" t="s">
        <v>19</v>
      </c>
      <c r="P551" s="5" t="s">
        <v>1003</v>
      </c>
      <c r="Q551" s="5" t="s">
        <v>0</v>
      </c>
      <c r="R551" s="7" t="s">
        <v>1004</v>
      </c>
    </row>
    <row r="552" spans="1:18" ht="46.8">
      <c r="A552" s="196" t="str">
        <f>HYPERLINK("http://sipi.sic.gov.co/sipi/View.ashx?4422837","SD2022/0109860")</f>
        <v>SD2022/0109860</v>
      </c>
      <c r="B552" s="8" t="s">
        <v>1347</v>
      </c>
      <c r="C552" s="57" t="s">
        <v>7</v>
      </c>
      <c r="D552" s="104" t="s">
        <v>8</v>
      </c>
      <c r="E552" s="67"/>
      <c r="F552" s="68"/>
      <c r="G552" s="66" t="s">
        <v>6</v>
      </c>
      <c r="H552" s="66"/>
      <c r="I552" s="122"/>
      <c r="J552" s="68"/>
      <c r="K552" s="66" t="s">
        <v>6</v>
      </c>
      <c r="L552" s="66"/>
      <c r="M552" s="143" t="s">
        <v>1848</v>
      </c>
      <c r="N552" s="144" t="s">
        <v>6</v>
      </c>
      <c r="O552" s="6" t="s">
        <v>19</v>
      </c>
      <c r="P552" s="5" t="s">
        <v>1003</v>
      </c>
      <c r="Q552" s="5" t="s">
        <v>0</v>
      </c>
      <c r="R552" s="7" t="s">
        <v>1004</v>
      </c>
    </row>
    <row r="553" spans="1:18" ht="57.6">
      <c r="A553" s="196" t="str">
        <f>HYPERLINK("http://sipi.sic.gov.co/sipi/View.ashx?4422847","SD2022/0129500")</f>
        <v>SD2022/0129500</v>
      </c>
      <c r="B553" s="8" t="s">
        <v>1348</v>
      </c>
      <c r="C553" s="57" t="s">
        <v>7</v>
      </c>
      <c r="D553" s="104" t="s">
        <v>17</v>
      </c>
      <c r="E553" s="67" t="s">
        <v>1349</v>
      </c>
      <c r="F553" s="68" t="s">
        <v>1793</v>
      </c>
      <c r="G553" s="66" t="s">
        <v>1848</v>
      </c>
      <c r="H553" s="66" t="s">
        <v>19</v>
      </c>
      <c r="I553" s="122"/>
      <c r="J553" s="68"/>
      <c r="K553" s="66" t="s">
        <v>6</v>
      </c>
      <c r="L553" s="66"/>
      <c r="M553" s="143" t="s">
        <v>1848</v>
      </c>
      <c r="N553" s="144" t="s">
        <v>6</v>
      </c>
      <c r="O553" s="6" t="s">
        <v>9</v>
      </c>
      <c r="P553" s="5" t="s">
        <v>1061</v>
      </c>
      <c r="Q553" s="5" t="s">
        <v>0</v>
      </c>
      <c r="R553" s="7" t="s">
        <v>1350</v>
      </c>
    </row>
    <row r="554" spans="1:18" ht="78">
      <c r="A554" s="196" t="str">
        <f>HYPERLINK("http://sipi.sic.gov.co/sipi/View.ashx?4424928","SD2022/0110326")</f>
        <v>SD2022/0110326</v>
      </c>
      <c r="B554" s="8" t="s">
        <v>1351</v>
      </c>
      <c r="C554" s="57" t="s">
        <v>13</v>
      </c>
      <c r="D554" s="104" t="s">
        <v>8</v>
      </c>
      <c r="E554" s="67"/>
      <c r="F554" s="68"/>
      <c r="G554" s="66" t="s">
        <v>6</v>
      </c>
      <c r="H554" s="66"/>
      <c r="I554" s="122"/>
      <c r="J554" s="68"/>
      <c r="K554" s="66" t="s">
        <v>6</v>
      </c>
      <c r="L554" s="66"/>
      <c r="M554" s="143" t="s">
        <v>1848</v>
      </c>
      <c r="N554" s="144" t="s">
        <v>6</v>
      </c>
      <c r="O554" s="6" t="s">
        <v>19</v>
      </c>
      <c r="P554" s="5" t="s">
        <v>1352</v>
      </c>
      <c r="Q554" s="5" t="s">
        <v>0</v>
      </c>
      <c r="R554" s="7" t="s">
        <v>11</v>
      </c>
    </row>
    <row r="555" spans="1:18" ht="72">
      <c r="A555" s="196" t="str">
        <f>HYPERLINK("http://sipi.sic.gov.co/sipi/View.ashx?4424958","SD2022/0110338")</f>
        <v>SD2022/0110338</v>
      </c>
      <c r="B555" s="8" t="s">
        <v>1353</v>
      </c>
      <c r="C555" s="57" t="s">
        <v>7</v>
      </c>
      <c r="D555" s="104" t="s">
        <v>17</v>
      </c>
      <c r="E555" s="67" t="s">
        <v>1354</v>
      </c>
      <c r="F555" s="68" t="s">
        <v>1794</v>
      </c>
      <c r="G555" s="66" t="s">
        <v>1848</v>
      </c>
      <c r="H555" s="66" t="s">
        <v>19</v>
      </c>
      <c r="I555" s="122"/>
      <c r="J555" s="68"/>
      <c r="K555" s="66" t="s">
        <v>6</v>
      </c>
      <c r="L555" s="66"/>
      <c r="M555" s="143" t="s">
        <v>1849</v>
      </c>
      <c r="N555" s="144" t="s">
        <v>6</v>
      </c>
      <c r="O555" s="6" t="s">
        <v>19</v>
      </c>
      <c r="P555" s="5" t="s">
        <v>1355</v>
      </c>
      <c r="Q555" s="5" t="s">
        <v>139</v>
      </c>
      <c r="R555" s="7" t="s">
        <v>1356</v>
      </c>
    </row>
    <row r="556" spans="1:18" ht="244.8">
      <c r="A556" s="196" t="str">
        <f>HYPERLINK("http://sipi.sic.gov.co/sipi/View.ashx?4428560","SD2022/0111353")</f>
        <v>SD2022/0111353</v>
      </c>
      <c r="B556" s="8" t="s">
        <v>1357</v>
      </c>
      <c r="C556" s="57" t="s">
        <v>13</v>
      </c>
      <c r="D556" s="104" t="s">
        <v>8</v>
      </c>
      <c r="E556" s="67"/>
      <c r="F556" s="68"/>
      <c r="G556" s="66" t="s">
        <v>6</v>
      </c>
      <c r="H556" s="66"/>
      <c r="I556" s="122"/>
      <c r="J556" s="68"/>
      <c r="K556" s="66" t="s">
        <v>6</v>
      </c>
      <c r="L556" s="66"/>
      <c r="M556" s="143" t="s">
        <v>1848</v>
      </c>
      <c r="N556" s="144" t="s">
        <v>6</v>
      </c>
      <c r="O556" s="6" t="s">
        <v>19</v>
      </c>
      <c r="P556" s="5" t="s">
        <v>1358</v>
      </c>
      <c r="Q556" s="5" t="s">
        <v>278</v>
      </c>
      <c r="R556" s="7" t="s">
        <v>1359</v>
      </c>
    </row>
    <row r="557" spans="1:18" ht="244.8">
      <c r="A557" s="196" t="str">
        <f>HYPERLINK("http://sipi.sic.gov.co/sipi/View.ashx?4428599","SD2022/0111345")</f>
        <v>SD2022/0111345</v>
      </c>
      <c r="B557" s="8" t="s">
        <v>1360</v>
      </c>
      <c r="C557" s="57" t="s">
        <v>13</v>
      </c>
      <c r="D557" s="104" t="s">
        <v>17</v>
      </c>
      <c r="E557" s="220" t="s">
        <v>1382</v>
      </c>
      <c r="F557" s="68" t="s">
        <v>1795</v>
      </c>
      <c r="G557" s="66" t="s">
        <v>1848</v>
      </c>
      <c r="H557" s="66" t="s">
        <v>9</v>
      </c>
      <c r="I557" s="122"/>
      <c r="J557" s="68"/>
      <c r="K557" s="66" t="s">
        <v>6</v>
      </c>
      <c r="L557" s="66"/>
      <c r="M557" s="143" t="s">
        <v>1848</v>
      </c>
      <c r="N557" s="144" t="s">
        <v>6</v>
      </c>
      <c r="O557" s="6" t="s">
        <v>19</v>
      </c>
      <c r="P557" s="5" t="s">
        <v>1358</v>
      </c>
      <c r="Q557" s="5" t="s">
        <v>278</v>
      </c>
      <c r="R557" s="7" t="s">
        <v>1361</v>
      </c>
    </row>
    <row r="558" spans="1:18" ht="316.8">
      <c r="A558" s="196" t="str">
        <f>HYPERLINK("http://sipi.sic.gov.co/sipi/View.ashx?4431848","SD2022/0112020")</f>
        <v>SD2022/0112020</v>
      </c>
      <c r="B558" s="8" t="s">
        <v>1362</v>
      </c>
      <c r="C558" s="57" t="s">
        <v>13</v>
      </c>
      <c r="D558" s="104" t="s">
        <v>8</v>
      </c>
      <c r="E558" s="67"/>
      <c r="F558" s="68"/>
      <c r="G558" s="66" t="s">
        <v>6</v>
      </c>
      <c r="H558" s="66"/>
      <c r="I558" s="122"/>
      <c r="J558" s="68"/>
      <c r="K558" s="66" t="s">
        <v>6</v>
      </c>
      <c r="L558" s="66"/>
      <c r="M558" s="143" t="s">
        <v>1848</v>
      </c>
      <c r="N558" s="144" t="s">
        <v>6</v>
      </c>
      <c r="O558" s="6" t="s">
        <v>9</v>
      </c>
      <c r="P558" s="5" t="s">
        <v>1363</v>
      </c>
      <c r="Q558" s="5" t="s">
        <v>23</v>
      </c>
      <c r="R558" s="7" t="s">
        <v>1364</v>
      </c>
    </row>
    <row r="559" spans="1:18" ht="187.2">
      <c r="A559" s="196" t="str">
        <f>HYPERLINK("http://sipi.sic.gov.co/sipi/View.ashx?4432826","SD2022/0112305")</f>
        <v>SD2022/0112305</v>
      </c>
      <c r="B559" s="8" t="s">
        <v>1365</v>
      </c>
      <c r="C559" s="57" t="s">
        <v>13</v>
      </c>
      <c r="D559" s="104" t="s">
        <v>8</v>
      </c>
      <c r="E559" s="67"/>
      <c r="F559" s="68"/>
      <c r="G559" s="66" t="s">
        <v>6</v>
      </c>
      <c r="H559" s="66"/>
      <c r="I559" s="122"/>
      <c r="J559" s="68"/>
      <c r="K559" s="66" t="s">
        <v>6</v>
      </c>
      <c r="L559" s="66"/>
      <c r="M559" s="143" t="s">
        <v>1848</v>
      </c>
      <c r="N559" s="144" t="s">
        <v>6</v>
      </c>
      <c r="O559" s="6" t="s">
        <v>19</v>
      </c>
      <c r="P559" s="5" t="s">
        <v>1366</v>
      </c>
      <c r="Q559" s="5" t="s">
        <v>0</v>
      </c>
      <c r="R559" s="7" t="s">
        <v>1367</v>
      </c>
    </row>
    <row r="560" spans="1:18" ht="15.6">
      <c r="A560" s="197" t="str">
        <f>HYPERLINK("http://sipi.sic.gov.co/sipi/View.ashx?4434865","SD2022/0112996")</f>
        <v>SD2022/0112996</v>
      </c>
      <c r="B560" s="156" t="s">
        <v>1368</v>
      </c>
      <c r="C560" s="159" t="s">
        <v>13</v>
      </c>
      <c r="D560" s="160" t="s">
        <v>17</v>
      </c>
      <c r="E560" s="192" t="s">
        <v>1369</v>
      </c>
      <c r="F560" s="161" t="s">
        <v>1839</v>
      </c>
      <c r="G560" s="66" t="s">
        <v>1858</v>
      </c>
      <c r="H560" s="66" t="s">
        <v>19</v>
      </c>
      <c r="I560" s="122"/>
      <c r="J560" s="68"/>
      <c r="K560" s="66"/>
      <c r="L560" s="66"/>
      <c r="M560" s="143" t="s">
        <v>6</v>
      </c>
      <c r="N560" s="144" t="s">
        <v>6</v>
      </c>
      <c r="O560" s="6"/>
      <c r="P560" s="5"/>
      <c r="Q560" s="5"/>
      <c r="R560" s="7"/>
    </row>
    <row r="561" spans="1:18" ht="72">
      <c r="A561" s="198"/>
      <c r="B561" s="156" t="s">
        <v>1368</v>
      </c>
      <c r="C561" s="159" t="s">
        <v>13</v>
      </c>
      <c r="D561" s="160" t="s">
        <v>17</v>
      </c>
      <c r="E561" s="192" t="s">
        <v>1369</v>
      </c>
      <c r="F561" s="161" t="s">
        <v>1839</v>
      </c>
      <c r="G561" s="66" t="s">
        <v>1848</v>
      </c>
      <c r="H561" s="66" t="s">
        <v>19</v>
      </c>
      <c r="I561" s="122"/>
      <c r="J561" s="68"/>
      <c r="M561" s="143" t="s">
        <v>1848</v>
      </c>
      <c r="N561" s="144" t="s">
        <v>6</v>
      </c>
      <c r="O561" s="6" t="s">
        <v>9</v>
      </c>
      <c r="P561" s="5" t="s">
        <v>1370</v>
      </c>
      <c r="Q561" s="5" t="s">
        <v>0</v>
      </c>
      <c r="R561" s="7" t="s">
        <v>11</v>
      </c>
    </row>
    <row r="562" spans="1:18" ht="409.6">
      <c r="A562" s="196" t="str">
        <f>HYPERLINK("http://sipi.sic.gov.co/sipi/View.ashx?4437331","SD2022/0114154")</f>
        <v>SD2022/0114154</v>
      </c>
      <c r="B562" s="8" t="s">
        <v>1371</v>
      </c>
      <c r="C562" s="57" t="s">
        <v>13</v>
      </c>
      <c r="D562" s="104" t="s">
        <v>17</v>
      </c>
      <c r="E562" s="95" t="s">
        <v>1372</v>
      </c>
      <c r="F562" s="68" t="s">
        <v>1796</v>
      </c>
      <c r="G562" s="66" t="s">
        <v>1848</v>
      </c>
      <c r="H562" s="66" t="s">
        <v>9</v>
      </c>
      <c r="I562" s="136"/>
      <c r="J562" s="68"/>
      <c r="K562" s="66" t="s">
        <v>6</v>
      </c>
      <c r="L562" s="66"/>
      <c r="M562" s="143" t="s">
        <v>1848</v>
      </c>
      <c r="N562" s="144" t="s">
        <v>6</v>
      </c>
      <c r="O562" s="6" t="s">
        <v>19</v>
      </c>
      <c r="P562" s="5" t="s">
        <v>1373</v>
      </c>
      <c r="Q562" s="5" t="s">
        <v>23</v>
      </c>
      <c r="R562" s="7" t="s">
        <v>1374</v>
      </c>
    </row>
    <row r="563" spans="1:18" ht="57.6">
      <c r="A563" s="196" t="str">
        <f>HYPERLINK("http://sipi.sic.gov.co/sipi/View.ashx?4438396","SD2022/0113997")</f>
        <v>SD2022/0113997</v>
      </c>
      <c r="B563" s="8" t="s">
        <v>1375</v>
      </c>
      <c r="C563" s="57" t="s">
        <v>7</v>
      </c>
      <c r="D563" s="104" t="s">
        <v>8</v>
      </c>
      <c r="E563" s="67"/>
      <c r="F563" s="68"/>
      <c r="G563" s="66" t="s">
        <v>6</v>
      </c>
      <c r="H563" s="66"/>
      <c r="I563" s="122"/>
      <c r="J563" s="68"/>
      <c r="K563" s="66" t="s">
        <v>6</v>
      </c>
      <c r="L563" s="66"/>
      <c r="M563" s="143" t="s">
        <v>1848</v>
      </c>
      <c r="N563" s="144" t="s">
        <v>6</v>
      </c>
      <c r="O563" s="6" t="s">
        <v>9</v>
      </c>
      <c r="P563" s="5" t="s">
        <v>1376</v>
      </c>
      <c r="Q563" s="5" t="s">
        <v>654</v>
      </c>
      <c r="R563" s="7" t="s">
        <v>1377</v>
      </c>
    </row>
    <row r="564" spans="1:18" ht="72">
      <c r="A564" s="196" t="str">
        <f>HYPERLINK("http://sipi.sic.gov.co/sipi/View.ashx?4439282","SD2022/0114350")</f>
        <v>SD2022/0114350</v>
      </c>
      <c r="B564" s="8" t="s">
        <v>1378</v>
      </c>
      <c r="C564" s="57" t="s">
        <v>7</v>
      </c>
      <c r="D564" s="104" t="s">
        <v>8</v>
      </c>
      <c r="E564" s="67"/>
      <c r="F564" s="68"/>
      <c r="G564" s="66" t="s">
        <v>6</v>
      </c>
      <c r="H564" s="66"/>
      <c r="I564" s="122"/>
      <c r="J564" s="68"/>
      <c r="K564" s="66" t="s">
        <v>6</v>
      </c>
      <c r="L564" s="66"/>
      <c r="M564" s="143" t="s">
        <v>1848</v>
      </c>
      <c r="N564" s="144" t="s">
        <v>6</v>
      </c>
      <c r="O564" s="6" t="s">
        <v>19</v>
      </c>
      <c r="P564" s="5" t="s">
        <v>1379</v>
      </c>
      <c r="Q564" s="5" t="s">
        <v>0</v>
      </c>
      <c r="R564" s="7" t="s">
        <v>1380</v>
      </c>
    </row>
    <row r="565" spans="1:18" ht="409.6">
      <c r="A565" s="196" t="str">
        <f>HYPERLINK("http://sipi.sic.gov.co/sipi/View.ashx?4441976","SD2022/0114764")</f>
        <v>SD2022/0114764</v>
      </c>
      <c r="B565" s="8" t="s">
        <v>1381</v>
      </c>
      <c r="C565" s="57" t="s">
        <v>13</v>
      </c>
      <c r="D565" s="104" t="s">
        <v>17</v>
      </c>
      <c r="E565" s="67" t="s">
        <v>1382</v>
      </c>
      <c r="F565" s="68" t="s">
        <v>1795</v>
      </c>
      <c r="G565" s="66" t="s">
        <v>1848</v>
      </c>
      <c r="H565" s="66" t="s">
        <v>9</v>
      </c>
      <c r="I565" s="122"/>
      <c r="J565" s="68"/>
      <c r="K565" s="66" t="s">
        <v>6</v>
      </c>
      <c r="L565" s="66"/>
      <c r="M565" s="143" t="s">
        <v>1848</v>
      </c>
      <c r="N565" s="144" t="s">
        <v>6</v>
      </c>
      <c r="O565" s="6" t="s">
        <v>19</v>
      </c>
      <c r="P565" s="5" t="s">
        <v>1383</v>
      </c>
      <c r="Q565" s="5" t="s">
        <v>23</v>
      </c>
      <c r="R565" s="7" t="s">
        <v>1384</v>
      </c>
    </row>
    <row r="566" spans="1:18" ht="78">
      <c r="A566" s="196" t="str">
        <f>HYPERLINK("http://sipi.sic.gov.co/sipi/View.ashx?4442510","SD2022/0114831")</f>
        <v>SD2022/0114831</v>
      </c>
      <c r="B566" s="8" t="s">
        <v>1385</v>
      </c>
      <c r="C566" s="57" t="s">
        <v>7</v>
      </c>
      <c r="D566" s="104" t="s">
        <v>17</v>
      </c>
      <c r="E566" s="67" t="s">
        <v>1386</v>
      </c>
      <c r="F566" s="68" t="s">
        <v>1797</v>
      </c>
      <c r="G566" s="66" t="s">
        <v>1848</v>
      </c>
      <c r="H566" s="66" t="s">
        <v>9</v>
      </c>
      <c r="I566" s="122"/>
      <c r="J566" s="68"/>
      <c r="K566" s="66" t="s">
        <v>6</v>
      </c>
      <c r="L566" s="66"/>
      <c r="M566" s="143" t="s">
        <v>1848</v>
      </c>
      <c r="N566" s="144" t="s">
        <v>6</v>
      </c>
      <c r="O566" s="6" t="s">
        <v>9</v>
      </c>
      <c r="P566" s="5" t="s">
        <v>1387</v>
      </c>
      <c r="Q566" s="5" t="s">
        <v>0</v>
      </c>
      <c r="R566" s="7" t="s">
        <v>1388</v>
      </c>
    </row>
    <row r="567" spans="1:18" ht="93.6">
      <c r="A567" s="196" t="str">
        <f>HYPERLINK("http://sipi.sic.gov.co/sipi/View.ashx?4442601","SD2022/0114843")</f>
        <v>SD2022/0114843</v>
      </c>
      <c r="B567" s="8" t="s">
        <v>1389</v>
      </c>
      <c r="C567" s="57" t="s">
        <v>7</v>
      </c>
      <c r="D567" s="104" t="s">
        <v>17</v>
      </c>
      <c r="E567" s="95" t="s">
        <v>1390</v>
      </c>
      <c r="F567" s="68" t="s">
        <v>1798</v>
      </c>
      <c r="G567" s="66" t="s">
        <v>1848</v>
      </c>
      <c r="H567" s="66" t="s">
        <v>9</v>
      </c>
      <c r="I567" s="122"/>
      <c r="J567" s="68"/>
      <c r="K567" s="66" t="s">
        <v>6</v>
      </c>
      <c r="L567" s="66"/>
      <c r="M567" s="143" t="s">
        <v>1848</v>
      </c>
      <c r="N567" s="144" t="s">
        <v>6</v>
      </c>
      <c r="O567" s="6" t="s">
        <v>19</v>
      </c>
      <c r="P567" s="5" t="s">
        <v>1391</v>
      </c>
      <c r="Q567" s="5" t="s">
        <v>0</v>
      </c>
      <c r="R567" s="7" t="s">
        <v>1392</v>
      </c>
    </row>
    <row r="568" spans="1:18" ht="100.8">
      <c r="A568" s="196" t="str">
        <f>HYPERLINK("http://sipi.sic.gov.co/sipi/View.ashx?4445135","SD2022/0115370")</f>
        <v>SD2022/0115370</v>
      </c>
      <c r="B568" s="8" t="s">
        <v>1393</v>
      </c>
      <c r="C568" s="57" t="s">
        <v>7</v>
      </c>
      <c r="D568" s="104" t="s">
        <v>8</v>
      </c>
      <c r="E568" s="67"/>
      <c r="F568" s="68"/>
      <c r="G568" s="66" t="s">
        <v>6</v>
      </c>
      <c r="H568" s="66"/>
      <c r="I568" s="122"/>
      <c r="J568" s="68"/>
      <c r="K568" s="66" t="s">
        <v>6</v>
      </c>
      <c r="L568" s="66"/>
      <c r="M568" s="143" t="s">
        <v>1848</v>
      </c>
      <c r="N568" s="144" t="s">
        <v>6</v>
      </c>
      <c r="O568" s="6" t="s">
        <v>9</v>
      </c>
      <c r="P568" s="5" t="s">
        <v>1394</v>
      </c>
      <c r="Q568" s="5" t="s">
        <v>0</v>
      </c>
      <c r="R568" s="7" t="s">
        <v>1395</v>
      </c>
    </row>
    <row r="569" spans="1:18" ht="15.6">
      <c r="A569" s="197" t="str">
        <f>HYPERLINK("http://sipi.sic.gov.co/sipi/View.ashx?4447076","SD2022/0115921")</f>
        <v>SD2022/0115921</v>
      </c>
      <c r="B569" s="156" t="s">
        <v>1396</v>
      </c>
      <c r="C569" s="159" t="s">
        <v>13</v>
      </c>
      <c r="D569" s="160" t="s">
        <v>17</v>
      </c>
      <c r="E569" s="192" t="s">
        <v>1397</v>
      </c>
      <c r="F569" s="193" t="s">
        <v>1802</v>
      </c>
      <c r="G569" s="66" t="s">
        <v>1848</v>
      </c>
      <c r="H569" s="66" t="s">
        <v>19</v>
      </c>
      <c r="I569" s="122"/>
      <c r="J569" s="68"/>
      <c r="K569" s="66"/>
      <c r="L569" s="66"/>
      <c r="M569" s="143" t="s">
        <v>6</v>
      </c>
      <c r="N569" s="144" t="s">
        <v>6</v>
      </c>
      <c r="O569" s="6"/>
      <c r="P569" s="5"/>
      <c r="Q569" s="5"/>
      <c r="R569" s="7"/>
    </row>
    <row r="570" spans="1:18" ht="62.4">
      <c r="A570" s="198"/>
      <c r="B570" s="156" t="s">
        <v>1396</v>
      </c>
      <c r="C570" s="159" t="s">
        <v>13</v>
      </c>
      <c r="D570" s="160" t="s">
        <v>17</v>
      </c>
      <c r="E570" s="192" t="s">
        <v>1397</v>
      </c>
      <c r="F570" s="193" t="s">
        <v>1802</v>
      </c>
      <c r="G570" s="66" t="s">
        <v>1848</v>
      </c>
      <c r="H570" s="66" t="s">
        <v>9</v>
      </c>
      <c r="I570" s="122"/>
      <c r="J570" s="72"/>
      <c r="M570" s="143" t="s">
        <v>1848</v>
      </c>
      <c r="N570" s="144" t="s">
        <v>6</v>
      </c>
      <c r="O570" s="6" t="s">
        <v>19</v>
      </c>
      <c r="P570" s="5" t="s">
        <v>1398</v>
      </c>
      <c r="Q570" s="5" t="s">
        <v>23</v>
      </c>
      <c r="R570" s="7" t="s">
        <v>1399</v>
      </c>
    </row>
    <row r="571" spans="1:18" ht="57.6">
      <c r="A571" s="196" t="str">
        <f>HYPERLINK("http://sipi.sic.gov.co/sipi/View.ashx?4447457","SD2022/0116034")</f>
        <v>SD2022/0116034</v>
      </c>
      <c r="B571" s="8" t="s">
        <v>1400</v>
      </c>
      <c r="C571" s="57" t="s">
        <v>13</v>
      </c>
      <c r="D571" s="104" t="s">
        <v>8</v>
      </c>
      <c r="E571" s="67"/>
      <c r="F571" s="68"/>
      <c r="G571" s="66" t="s">
        <v>6</v>
      </c>
      <c r="H571" s="66"/>
      <c r="I571" s="122"/>
      <c r="J571" s="68"/>
      <c r="K571" s="66" t="s">
        <v>6</v>
      </c>
      <c r="L571" s="66"/>
      <c r="M571" s="143" t="s">
        <v>1848</v>
      </c>
      <c r="N571" s="144" t="s">
        <v>6</v>
      </c>
      <c r="O571" s="6" t="s">
        <v>9</v>
      </c>
      <c r="P571" s="5" t="s">
        <v>1401</v>
      </c>
      <c r="Q571" s="5" t="s">
        <v>0</v>
      </c>
      <c r="R571" s="7" t="s">
        <v>1402</v>
      </c>
    </row>
    <row r="572" spans="1:18" ht="57.6">
      <c r="A572" s="196" t="str">
        <f>HYPERLINK("http://sipi.sic.gov.co/sipi/View.ashx?4448368","SD2022/0119945")</f>
        <v>SD2022/0119945</v>
      </c>
      <c r="B572" s="8" t="s">
        <v>1403</v>
      </c>
      <c r="C572" s="57" t="s">
        <v>13</v>
      </c>
      <c r="D572" s="105" t="s">
        <v>8</v>
      </c>
      <c r="E572" s="67"/>
      <c r="F572" s="68"/>
      <c r="G572" s="66"/>
      <c r="H572" s="66"/>
      <c r="I572" s="122"/>
      <c r="J572" s="68"/>
      <c r="K572" s="66" t="s">
        <v>6</v>
      </c>
      <c r="L572" s="66"/>
      <c r="M572" s="143" t="s">
        <v>1848</v>
      </c>
      <c r="N572" s="144" t="s">
        <v>6</v>
      </c>
      <c r="O572" s="6" t="s">
        <v>19</v>
      </c>
      <c r="P572" s="5" t="s">
        <v>1404</v>
      </c>
      <c r="Q572" s="5" t="s">
        <v>23</v>
      </c>
      <c r="R572" s="7" t="s">
        <v>1405</v>
      </c>
    </row>
    <row r="573" spans="1:18" ht="46.8">
      <c r="A573" s="196" t="str">
        <f>HYPERLINK("http://sipi.sic.gov.co/sipi/View.ashx?4452763","SD2022/0117395")</f>
        <v>SD2022/0117395</v>
      </c>
      <c r="B573" s="8" t="s">
        <v>1406</v>
      </c>
      <c r="C573" s="57" t="s">
        <v>7</v>
      </c>
      <c r="D573" s="104" t="s">
        <v>8</v>
      </c>
      <c r="E573" s="67"/>
      <c r="F573" s="68"/>
      <c r="G573" s="66" t="s">
        <v>6</v>
      </c>
      <c r="H573" s="66"/>
      <c r="I573" s="122"/>
      <c r="J573" s="68"/>
      <c r="K573" s="66" t="s">
        <v>6</v>
      </c>
      <c r="L573" s="66"/>
      <c r="M573" s="143" t="s">
        <v>1848</v>
      </c>
      <c r="N573" s="144" t="s">
        <v>6</v>
      </c>
      <c r="O573" s="6" t="s">
        <v>9</v>
      </c>
      <c r="P573" s="5" t="s">
        <v>765</v>
      </c>
      <c r="Q573" s="5" t="s">
        <v>0</v>
      </c>
      <c r="R573" s="7" t="s">
        <v>1407</v>
      </c>
    </row>
    <row r="574" spans="1:18" ht="72">
      <c r="A574" s="196" t="str">
        <f>HYPERLINK("http://sipi.sic.gov.co/sipi/View.ashx?4454871","SD2022/0123727")</f>
        <v>SD2022/0123727</v>
      </c>
      <c r="B574" s="8" t="s">
        <v>1408</v>
      </c>
      <c r="C574" s="57" t="s">
        <v>13</v>
      </c>
      <c r="D574" s="104" t="s">
        <v>17</v>
      </c>
      <c r="E574" s="67" t="s">
        <v>1409</v>
      </c>
      <c r="F574" s="68" t="s">
        <v>1803</v>
      </c>
      <c r="G574" s="66" t="s">
        <v>1848</v>
      </c>
      <c r="H574" s="66" t="s">
        <v>9</v>
      </c>
      <c r="I574" s="122"/>
      <c r="J574" s="68"/>
      <c r="K574" s="66" t="s">
        <v>6</v>
      </c>
      <c r="L574" s="66"/>
      <c r="M574" s="143" t="s">
        <v>1848</v>
      </c>
      <c r="N574" s="144" t="s">
        <v>6</v>
      </c>
      <c r="O574" s="6" t="s">
        <v>19</v>
      </c>
      <c r="P574" s="5" t="s">
        <v>1410</v>
      </c>
      <c r="Q574" s="5" t="s">
        <v>1411</v>
      </c>
      <c r="R574" s="7" t="s">
        <v>1412</v>
      </c>
    </row>
    <row r="575" spans="1:18" ht="31.2">
      <c r="A575" s="196" t="str">
        <f>HYPERLINK("http://sipi.sic.gov.co/sipi/View.ashx?4457405","SD2022/0118555")</f>
        <v>SD2022/0118555</v>
      </c>
      <c r="B575" s="8" t="s">
        <v>1413</v>
      </c>
      <c r="C575" s="57" t="s">
        <v>13</v>
      </c>
      <c r="D575" s="104" t="s">
        <v>8</v>
      </c>
      <c r="E575" s="67"/>
      <c r="F575" s="68"/>
      <c r="G575" s="66" t="s">
        <v>6</v>
      </c>
      <c r="H575" s="66"/>
      <c r="I575" s="122"/>
      <c r="J575" s="68"/>
      <c r="K575" s="66" t="s">
        <v>6</v>
      </c>
      <c r="L575" s="66"/>
      <c r="M575" s="143" t="s">
        <v>1848</v>
      </c>
      <c r="N575" s="144" t="s">
        <v>6</v>
      </c>
      <c r="O575" s="6" t="s">
        <v>9</v>
      </c>
      <c r="P575" s="5" t="s">
        <v>1414</v>
      </c>
      <c r="Q575" s="5" t="s">
        <v>0</v>
      </c>
      <c r="R575" s="7" t="s">
        <v>1415</v>
      </c>
    </row>
    <row r="576" spans="1:18" ht="78">
      <c r="A576" s="196" t="str">
        <f>HYPERLINK("http://sipi.sic.gov.co/sipi/View.ashx?4459292","SD2022/0118977")</f>
        <v>SD2022/0118977</v>
      </c>
      <c r="B576" s="8" t="s">
        <v>1416</v>
      </c>
      <c r="C576" s="57" t="s">
        <v>7</v>
      </c>
      <c r="D576" s="104" t="s">
        <v>8</v>
      </c>
      <c r="E576" s="67"/>
      <c r="F576" s="68"/>
      <c r="G576" s="66" t="s">
        <v>6</v>
      </c>
      <c r="H576" s="66"/>
      <c r="I576" s="122"/>
      <c r="J576" s="68"/>
      <c r="K576" s="66" t="s">
        <v>6</v>
      </c>
      <c r="L576" s="66"/>
      <c r="M576" s="143" t="s">
        <v>1848</v>
      </c>
      <c r="N576" s="144" t="s">
        <v>6</v>
      </c>
      <c r="O576" s="6" t="s">
        <v>19</v>
      </c>
      <c r="P576" s="5" t="s">
        <v>1417</v>
      </c>
      <c r="Q576" s="5" t="s">
        <v>278</v>
      </c>
      <c r="R576" s="7" t="s">
        <v>1418</v>
      </c>
    </row>
    <row r="577" spans="1:18" ht="100.8">
      <c r="A577" s="196" t="str">
        <f>HYPERLINK("http://sipi.sic.gov.co/sipi/View.ashx?4460309","SD2022/0119297")</f>
        <v>SD2022/0119297</v>
      </c>
      <c r="B577" s="8" t="s">
        <v>1419</v>
      </c>
      <c r="C577" s="57" t="s">
        <v>13</v>
      </c>
      <c r="D577" s="104" t="s">
        <v>8</v>
      </c>
      <c r="E577" s="67"/>
      <c r="F577" s="68"/>
      <c r="G577" s="66" t="s">
        <v>6</v>
      </c>
      <c r="H577" s="66"/>
      <c r="I577" s="122"/>
      <c r="J577" s="68"/>
      <c r="K577" s="66" t="s">
        <v>6</v>
      </c>
      <c r="L577" s="66"/>
      <c r="M577" s="143" t="s">
        <v>1848</v>
      </c>
      <c r="N577" s="144" t="s">
        <v>6</v>
      </c>
      <c r="O577" s="6" t="s">
        <v>9</v>
      </c>
      <c r="P577" s="5" t="s">
        <v>1420</v>
      </c>
      <c r="Q577" s="5" t="s">
        <v>58</v>
      </c>
      <c r="R577" s="7" t="s">
        <v>1421</v>
      </c>
    </row>
    <row r="578" spans="1:18" ht="100.8">
      <c r="A578" s="196" t="str">
        <f>HYPERLINK("http://sipi.sic.gov.co/sipi/View.ashx?4460364","SD2022/0119289")</f>
        <v>SD2022/0119289</v>
      </c>
      <c r="B578" s="8" t="s">
        <v>1422</v>
      </c>
      <c r="C578" s="57" t="s">
        <v>7</v>
      </c>
      <c r="D578" s="104" t="s">
        <v>8</v>
      </c>
      <c r="E578" s="67"/>
      <c r="F578" s="68"/>
      <c r="G578" s="66" t="s">
        <v>6</v>
      </c>
      <c r="H578" s="66"/>
      <c r="I578" s="122"/>
      <c r="J578" s="68"/>
      <c r="K578" s="66" t="s">
        <v>6</v>
      </c>
      <c r="L578" s="66"/>
      <c r="M578" s="143" t="s">
        <v>1848</v>
      </c>
      <c r="N578" s="144" t="s">
        <v>6</v>
      </c>
      <c r="O578" s="6" t="s">
        <v>9</v>
      </c>
      <c r="P578" s="5" t="s">
        <v>1423</v>
      </c>
      <c r="Q578" s="5" t="s">
        <v>23</v>
      </c>
      <c r="R578" s="7" t="s">
        <v>1424</v>
      </c>
    </row>
    <row r="579" spans="1:18" ht="115.2">
      <c r="A579" s="196" t="str">
        <f>HYPERLINK("http://sipi.sic.gov.co/sipi/View.ashx?4460994","SD2022/0119465")</f>
        <v>SD2022/0119465</v>
      </c>
      <c r="B579" s="8" t="s">
        <v>1425</v>
      </c>
      <c r="C579" s="57" t="s">
        <v>7</v>
      </c>
      <c r="D579" s="104" t="s">
        <v>8</v>
      </c>
      <c r="E579" s="67"/>
      <c r="F579" s="68"/>
      <c r="G579" s="66" t="s">
        <v>6</v>
      </c>
      <c r="H579" s="66"/>
      <c r="I579" s="122"/>
      <c r="J579" s="68"/>
      <c r="K579" s="66" t="s">
        <v>6</v>
      </c>
      <c r="L579" s="66"/>
      <c r="M579" s="143" t="s">
        <v>1848</v>
      </c>
      <c r="N579" s="144" t="s">
        <v>6</v>
      </c>
      <c r="O579" s="6" t="s">
        <v>19</v>
      </c>
      <c r="P579" s="5" t="s">
        <v>1426</v>
      </c>
      <c r="Q579" s="5" t="s">
        <v>0</v>
      </c>
      <c r="R579" s="7" t="s">
        <v>1427</v>
      </c>
    </row>
    <row r="580" spans="1:18" ht="100.8">
      <c r="A580" s="196" t="str">
        <f>HYPERLINK("http://sipi.sic.gov.co/sipi/View.ashx?4461243","SD2022/0119526")</f>
        <v>SD2022/0119526</v>
      </c>
      <c r="B580" s="8" t="s">
        <v>1428</v>
      </c>
      <c r="C580" s="57" t="s">
        <v>13</v>
      </c>
      <c r="D580" s="104" t="s">
        <v>8</v>
      </c>
      <c r="E580" s="67"/>
      <c r="F580" s="68"/>
      <c r="G580" s="66" t="s">
        <v>6</v>
      </c>
      <c r="H580" s="66"/>
      <c r="I580" s="122"/>
      <c r="J580" s="68"/>
      <c r="K580" s="66" t="s">
        <v>6</v>
      </c>
      <c r="L580" s="66"/>
      <c r="M580" s="143" t="s">
        <v>1848</v>
      </c>
      <c r="N580" s="144" t="s">
        <v>6</v>
      </c>
      <c r="O580" s="6" t="s">
        <v>19</v>
      </c>
      <c r="P580" s="5" t="s">
        <v>1420</v>
      </c>
      <c r="Q580" s="5" t="s">
        <v>58</v>
      </c>
      <c r="R580" s="7" t="s">
        <v>1429</v>
      </c>
    </row>
    <row r="581" spans="1:18" ht="100.8">
      <c r="A581" s="196" t="str">
        <f>HYPERLINK("http://sipi.sic.gov.co/sipi/View.ashx?4461247","SD2022/0119527")</f>
        <v>SD2022/0119527</v>
      </c>
      <c r="B581" s="8" t="s">
        <v>1430</v>
      </c>
      <c r="C581" s="57" t="s">
        <v>13</v>
      </c>
      <c r="D581" s="104" t="s">
        <v>8</v>
      </c>
      <c r="E581" s="67"/>
      <c r="F581" s="68"/>
      <c r="G581" s="66" t="s">
        <v>6</v>
      </c>
      <c r="H581" s="66"/>
      <c r="I581" s="122"/>
      <c r="J581" s="68"/>
      <c r="K581" s="66" t="s">
        <v>6</v>
      </c>
      <c r="L581" s="66"/>
      <c r="M581" s="143" t="s">
        <v>1848</v>
      </c>
      <c r="N581" s="144" t="s">
        <v>6</v>
      </c>
      <c r="O581" s="6" t="s">
        <v>19</v>
      </c>
      <c r="P581" s="5" t="s">
        <v>1420</v>
      </c>
      <c r="Q581" s="5" t="s">
        <v>58</v>
      </c>
      <c r="R581" s="7" t="s">
        <v>1429</v>
      </c>
    </row>
    <row r="582" spans="1:18" ht="72">
      <c r="A582" s="196" t="str">
        <f>HYPERLINK("http://sipi.sic.gov.co/sipi/View.ashx?4464233","SD2022/0120093")</f>
        <v>SD2022/0120093</v>
      </c>
      <c r="B582" s="8" t="s">
        <v>1431</v>
      </c>
      <c r="C582" s="57" t="s">
        <v>7</v>
      </c>
      <c r="D582" s="104" t="s">
        <v>8</v>
      </c>
      <c r="E582" s="67"/>
      <c r="F582" s="68"/>
      <c r="G582" s="66" t="s">
        <v>6</v>
      </c>
      <c r="H582" s="66"/>
      <c r="I582" s="122"/>
      <c r="J582" s="68"/>
      <c r="K582" s="66" t="s">
        <v>6</v>
      </c>
      <c r="L582" s="66"/>
      <c r="M582" s="143" t="s">
        <v>1849</v>
      </c>
      <c r="N582" s="144" t="s">
        <v>6</v>
      </c>
      <c r="O582" s="6" t="s">
        <v>19</v>
      </c>
      <c r="P582" s="5" t="s">
        <v>1296</v>
      </c>
      <c r="Q582" s="5" t="s">
        <v>0</v>
      </c>
      <c r="R582" s="7" t="s">
        <v>1432</v>
      </c>
    </row>
    <row r="583" spans="1:18" ht="93.6">
      <c r="A583" s="196" t="str">
        <f>HYPERLINK("http://sipi.sic.gov.co/sipi/View.ashx?4465160","SD2022/0120301")</f>
        <v>SD2022/0120301</v>
      </c>
      <c r="B583" s="8" t="s">
        <v>1433</v>
      </c>
      <c r="C583" s="57" t="s">
        <v>7</v>
      </c>
      <c r="D583" s="104" t="s">
        <v>17</v>
      </c>
      <c r="E583" s="67" t="s">
        <v>1434</v>
      </c>
      <c r="F583" s="68" t="s">
        <v>1799</v>
      </c>
      <c r="G583" s="66" t="s">
        <v>1848</v>
      </c>
      <c r="H583" s="66" t="s">
        <v>9</v>
      </c>
      <c r="I583" s="122"/>
      <c r="J583" s="68"/>
      <c r="K583" s="66" t="s">
        <v>6</v>
      </c>
      <c r="L583" s="66"/>
      <c r="M583" s="143" t="s">
        <v>1848</v>
      </c>
      <c r="N583" s="144" t="s">
        <v>6</v>
      </c>
      <c r="O583" s="6" t="s">
        <v>19</v>
      </c>
      <c r="P583" s="5" t="s">
        <v>1435</v>
      </c>
      <c r="Q583" s="5" t="s">
        <v>0</v>
      </c>
      <c r="R583" s="7" t="s">
        <v>1436</v>
      </c>
    </row>
    <row r="584" spans="1:18" ht="46.8">
      <c r="A584" s="196" t="str">
        <f>HYPERLINK("http://sipi.sic.gov.co/sipi/View.ashx?4467041","SD2022/0120749")</f>
        <v>SD2022/0120749</v>
      </c>
      <c r="B584" s="8" t="s">
        <v>1437</v>
      </c>
      <c r="C584" s="57" t="s">
        <v>7</v>
      </c>
      <c r="D584" s="104" t="s">
        <v>8</v>
      </c>
      <c r="E584" s="67"/>
      <c r="F584" s="68"/>
      <c r="G584" s="66" t="s">
        <v>6</v>
      </c>
      <c r="H584" s="66"/>
      <c r="I584" s="122"/>
      <c r="J584" s="68"/>
      <c r="K584" s="66" t="s">
        <v>6</v>
      </c>
      <c r="L584" s="66"/>
      <c r="M584" s="143" t="s">
        <v>1849</v>
      </c>
      <c r="N584" s="144" t="s">
        <v>6</v>
      </c>
      <c r="O584" s="6" t="s">
        <v>19</v>
      </c>
      <c r="P584" s="5" t="s">
        <v>1080</v>
      </c>
      <c r="Q584" s="5" t="s">
        <v>0</v>
      </c>
      <c r="R584" s="7" t="s">
        <v>1438</v>
      </c>
    </row>
    <row r="585" spans="1:18" ht="46.8">
      <c r="A585" s="196" t="str">
        <f>HYPERLINK("http://sipi.sic.gov.co/sipi/View.ashx?4467065","SD2022/0120752")</f>
        <v>SD2022/0120752</v>
      </c>
      <c r="B585" s="8" t="s">
        <v>1439</v>
      </c>
      <c r="C585" s="57" t="s">
        <v>7</v>
      </c>
      <c r="D585" s="104" t="s">
        <v>8</v>
      </c>
      <c r="E585" s="67"/>
      <c r="F585" s="68"/>
      <c r="G585" s="66" t="s">
        <v>6</v>
      </c>
      <c r="H585" s="66"/>
      <c r="I585" s="122"/>
      <c r="J585" s="68"/>
      <c r="K585" s="66" t="s">
        <v>6</v>
      </c>
      <c r="L585" s="66"/>
      <c r="M585" s="143" t="s">
        <v>1848</v>
      </c>
      <c r="N585" s="144" t="s">
        <v>6</v>
      </c>
      <c r="O585" s="6" t="s">
        <v>19</v>
      </c>
      <c r="P585" s="5" t="s">
        <v>1080</v>
      </c>
      <c r="Q585" s="5" t="s">
        <v>0</v>
      </c>
      <c r="R585" s="7" t="s">
        <v>1438</v>
      </c>
    </row>
    <row r="586" spans="1:18" ht="78">
      <c r="A586" s="196" t="str">
        <f>HYPERLINK("http://sipi.sic.gov.co/sipi/View.ashx?4467888","SD2022/0120935")</f>
        <v>SD2022/0120935</v>
      </c>
      <c r="B586" s="8" t="s">
        <v>1440</v>
      </c>
      <c r="C586" s="57" t="s">
        <v>13</v>
      </c>
      <c r="D586" s="104" t="s">
        <v>17</v>
      </c>
      <c r="E586" s="67" t="s">
        <v>1441</v>
      </c>
      <c r="F586" s="68" t="s">
        <v>1829</v>
      </c>
      <c r="G586" s="66" t="s">
        <v>1848</v>
      </c>
      <c r="H586" s="66" t="s">
        <v>9</v>
      </c>
      <c r="I586" s="122"/>
      <c r="J586" s="68"/>
      <c r="K586" s="66" t="s">
        <v>6</v>
      </c>
      <c r="L586" s="66"/>
      <c r="M586" s="143" t="s">
        <v>1848</v>
      </c>
      <c r="N586" s="144" t="s">
        <v>6</v>
      </c>
      <c r="O586" s="6" t="s">
        <v>19</v>
      </c>
      <c r="P586" s="5" t="s">
        <v>1442</v>
      </c>
      <c r="Q586" s="5" t="s">
        <v>0</v>
      </c>
      <c r="R586" s="7" t="s">
        <v>11</v>
      </c>
    </row>
    <row r="587" spans="1:18" ht="78">
      <c r="A587" s="196" t="str">
        <f>HYPERLINK("http://sipi.sic.gov.co/sipi/View.ashx?4468022","SD2022/0120958")</f>
        <v>SD2022/0120958</v>
      </c>
      <c r="B587" s="8" t="s">
        <v>1443</v>
      </c>
      <c r="C587" s="57" t="s">
        <v>13</v>
      </c>
      <c r="D587" s="104" t="s">
        <v>8</v>
      </c>
      <c r="E587" s="67"/>
      <c r="F587" s="68"/>
      <c r="G587" s="66" t="s">
        <v>6</v>
      </c>
      <c r="H587" s="66"/>
      <c r="I587" s="122"/>
      <c r="J587" s="68"/>
      <c r="K587" s="66" t="s">
        <v>6</v>
      </c>
      <c r="L587" s="66"/>
      <c r="M587" s="143" t="s">
        <v>1848</v>
      </c>
      <c r="N587" s="144" t="s">
        <v>6</v>
      </c>
      <c r="O587" s="6" t="s">
        <v>19</v>
      </c>
      <c r="P587" s="5" t="s">
        <v>1442</v>
      </c>
      <c r="Q587" s="5" t="s">
        <v>0</v>
      </c>
      <c r="R587" s="7" t="s">
        <v>11</v>
      </c>
    </row>
    <row r="588" spans="1:18" ht="409.6">
      <c r="A588" s="196" t="str">
        <f>HYPERLINK("http://sipi.sic.gov.co/sipi/View.ashx?4469902","SD2022/0121568")</f>
        <v>SD2022/0121568</v>
      </c>
      <c r="B588" s="8" t="s">
        <v>1444</v>
      </c>
      <c r="C588" s="57" t="s">
        <v>7</v>
      </c>
      <c r="D588" s="104" t="s">
        <v>17</v>
      </c>
      <c r="E588" s="67" t="s">
        <v>1445</v>
      </c>
      <c r="F588" s="68" t="s">
        <v>1748</v>
      </c>
      <c r="G588" s="66" t="s">
        <v>1848</v>
      </c>
      <c r="H588" s="66" t="s">
        <v>9</v>
      </c>
      <c r="I588" s="122"/>
      <c r="J588" s="68"/>
      <c r="K588" s="66" t="s">
        <v>6</v>
      </c>
      <c r="L588" s="66"/>
      <c r="M588" s="143" t="s">
        <v>1848</v>
      </c>
      <c r="N588" s="144" t="s">
        <v>6</v>
      </c>
      <c r="O588" s="6" t="s">
        <v>19</v>
      </c>
      <c r="P588" s="5" t="s">
        <v>1446</v>
      </c>
      <c r="Q588" s="5" t="s">
        <v>0</v>
      </c>
      <c r="R588" s="7" t="s">
        <v>1447</v>
      </c>
    </row>
    <row r="589" spans="1:18" ht="187.2">
      <c r="A589" s="196" t="str">
        <f>HYPERLINK("http://sipi.sic.gov.co/sipi/View.ashx?4471022","SD2022/0121797")</f>
        <v>SD2022/0121797</v>
      </c>
      <c r="B589" s="8" t="s">
        <v>1448</v>
      </c>
      <c r="C589" s="57" t="s">
        <v>13</v>
      </c>
      <c r="D589" s="104" t="s">
        <v>17</v>
      </c>
      <c r="E589" s="67" t="s">
        <v>1449</v>
      </c>
      <c r="F589" s="68" t="s">
        <v>1800</v>
      </c>
      <c r="G589" s="66" t="s">
        <v>1848</v>
      </c>
      <c r="H589" s="66" t="s">
        <v>9</v>
      </c>
      <c r="I589" s="122"/>
      <c r="J589" s="68"/>
      <c r="K589" s="66" t="s">
        <v>6</v>
      </c>
      <c r="L589" s="66"/>
      <c r="M589" s="143" t="s">
        <v>1848</v>
      </c>
      <c r="N589" s="144" t="s">
        <v>6</v>
      </c>
      <c r="O589" s="6" t="s">
        <v>9</v>
      </c>
      <c r="P589" s="5" t="s">
        <v>1450</v>
      </c>
      <c r="Q589" s="5" t="s">
        <v>31</v>
      </c>
      <c r="R589" s="7" t="s">
        <v>1451</v>
      </c>
    </row>
    <row r="590" spans="1:18" ht="78">
      <c r="A590" s="196" t="str">
        <f>HYPERLINK("http://sipi.sic.gov.co/sipi/View.ashx?4472433","SD2022/0122294")</f>
        <v>SD2022/0122294</v>
      </c>
      <c r="B590" s="8" t="s">
        <v>1452</v>
      </c>
      <c r="C590" s="57" t="s">
        <v>7</v>
      </c>
      <c r="D590" s="104" t="s">
        <v>8</v>
      </c>
      <c r="E590" s="67"/>
      <c r="F590" s="68"/>
      <c r="G590" s="66" t="s">
        <v>6</v>
      </c>
      <c r="H590" s="66"/>
      <c r="I590" s="122"/>
      <c r="J590" s="68"/>
      <c r="K590" s="66" t="s">
        <v>6</v>
      </c>
      <c r="L590" s="66"/>
      <c r="M590" s="143" t="s">
        <v>1848</v>
      </c>
      <c r="N590" s="144" t="s">
        <v>6</v>
      </c>
      <c r="O590" s="6" t="s">
        <v>9</v>
      </c>
      <c r="P590" s="5" t="s">
        <v>1039</v>
      </c>
      <c r="Q590" s="5" t="s">
        <v>0</v>
      </c>
      <c r="R590" s="7" t="s">
        <v>1040</v>
      </c>
    </row>
    <row r="591" spans="1:18" ht="78">
      <c r="A591" s="196" t="str">
        <f>HYPERLINK("http://sipi.sic.gov.co/sipi/View.ashx?4472466","SD2022/0122301")</f>
        <v>SD2022/0122301</v>
      </c>
      <c r="B591" s="8" t="s">
        <v>1453</v>
      </c>
      <c r="C591" s="57" t="s">
        <v>7</v>
      </c>
      <c r="D591" s="104" t="s">
        <v>8</v>
      </c>
      <c r="E591" s="67"/>
      <c r="F591" s="68"/>
      <c r="G591" s="66" t="s">
        <v>6</v>
      </c>
      <c r="H591" s="66"/>
      <c r="I591" s="122"/>
      <c r="J591" s="68"/>
      <c r="K591" s="66" t="s">
        <v>6</v>
      </c>
      <c r="L591" s="66"/>
      <c r="M591" s="143" t="s">
        <v>1848</v>
      </c>
      <c r="N591" s="144" t="s">
        <v>6</v>
      </c>
      <c r="O591" s="6" t="s">
        <v>19</v>
      </c>
      <c r="P591" s="5" t="s">
        <v>1039</v>
      </c>
      <c r="Q591" s="5" t="s">
        <v>0</v>
      </c>
      <c r="R591" s="7" t="s">
        <v>1040</v>
      </c>
    </row>
    <row r="592" spans="1:18" ht="86.4">
      <c r="A592" s="196" t="str">
        <f>HYPERLINK("http://sipi.sic.gov.co/sipi/View.ashx?4474737","SD2022/0122632")</f>
        <v>SD2022/0122632</v>
      </c>
      <c r="B592" s="8" t="s">
        <v>1454</v>
      </c>
      <c r="C592" s="57" t="s">
        <v>7</v>
      </c>
      <c r="D592" s="104" t="s">
        <v>8</v>
      </c>
      <c r="E592" s="67"/>
      <c r="F592" s="68"/>
      <c r="G592" s="66" t="s">
        <v>6</v>
      </c>
      <c r="H592" s="66"/>
      <c r="I592" s="122"/>
      <c r="J592" s="68"/>
      <c r="K592" s="66" t="s">
        <v>6</v>
      </c>
      <c r="L592" s="66"/>
      <c r="M592" s="143" t="s">
        <v>1848</v>
      </c>
      <c r="N592" s="144" t="s">
        <v>6</v>
      </c>
      <c r="O592" s="6" t="s">
        <v>19</v>
      </c>
      <c r="P592" s="5" t="s">
        <v>1455</v>
      </c>
      <c r="Q592" s="5" t="s">
        <v>58</v>
      </c>
      <c r="R592" s="7" t="s">
        <v>1456</v>
      </c>
    </row>
    <row r="593" spans="1:18" ht="86.4">
      <c r="A593" s="196" t="str">
        <f>HYPERLINK("http://sipi.sic.gov.co/sipi/View.ashx?4474786","SD2022/0122649")</f>
        <v>SD2022/0122649</v>
      </c>
      <c r="B593" s="8" t="s">
        <v>1457</v>
      </c>
      <c r="C593" s="57" t="s">
        <v>7</v>
      </c>
      <c r="D593" s="104" t="s">
        <v>8</v>
      </c>
      <c r="E593" s="67"/>
      <c r="F593" s="68"/>
      <c r="G593" s="66" t="s">
        <v>6</v>
      </c>
      <c r="H593" s="66"/>
      <c r="I593" s="122"/>
      <c r="J593" s="68"/>
      <c r="K593" s="66" t="s">
        <v>6</v>
      </c>
      <c r="L593" s="66"/>
      <c r="M593" s="143" t="s">
        <v>1848</v>
      </c>
      <c r="N593" s="144" t="s">
        <v>6</v>
      </c>
      <c r="O593" s="6" t="s">
        <v>19</v>
      </c>
      <c r="P593" s="5" t="s">
        <v>1458</v>
      </c>
      <c r="Q593" s="5" t="s">
        <v>278</v>
      </c>
      <c r="R593" s="7" t="s">
        <v>1459</v>
      </c>
    </row>
    <row r="594" spans="1:18" ht="78">
      <c r="A594" s="196" t="str">
        <f>HYPERLINK("http://sipi.sic.gov.co/sipi/View.ashx?4474921","SD2022/0122684")</f>
        <v>SD2022/0122684</v>
      </c>
      <c r="B594" s="8" t="s">
        <v>1460</v>
      </c>
      <c r="C594" s="57" t="s">
        <v>7</v>
      </c>
      <c r="D594" s="104" t="s">
        <v>8</v>
      </c>
      <c r="E594" s="67"/>
      <c r="F594" s="68"/>
      <c r="G594" s="66" t="s">
        <v>6</v>
      </c>
      <c r="H594" s="66"/>
      <c r="I594" s="122"/>
      <c r="J594" s="68"/>
      <c r="K594" s="66" t="s">
        <v>6</v>
      </c>
      <c r="L594" s="66"/>
      <c r="M594" s="143" t="s">
        <v>1848</v>
      </c>
      <c r="N594" s="144" t="s">
        <v>6</v>
      </c>
      <c r="O594" s="6" t="s">
        <v>19</v>
      </c>
      <c r="P594" s="5" t="s">
        <v>1458</v>
      </c>
      <c r="Q594" s="5" t="s">
        <v>0</v>
      </c>
      <c r="R594" s="7" t="s">
        <v>1461</v>
      </c>
    </row>
    <row r="595" spans="1:18" ht="78">
      <c r="A595" s="196" t="str">
        <f>HYPERLINK("http://sipi.sic.gov.co/sipi/View.ashx?4475224","SD2022/0122767")</f>
        <v>SD2022/0122767</v>
      </c>
      <c r="B595" s="8" t="s">
        <v>1462</v>
      </c>
      <c r="C595" s="57" t="s">
        <v>7</v>
      </c>
      <c r="D595" s="104" t="s">
        <v>17</v>
      </c>
      <c r="E595" s="67" t="s">
        <v>1463</v>
      </c>
      <c r="F595" s="68" t="s">
        <v>1801</v>
      </c>
      <c r="G595" s="66" t="s">
        <v>1848</v>
      </c>
      <c r="H595" s="66" t="s">
        <v>19</v>
      </c>
      <c r="I595" s="122"/>
      <c r="J595" s="68"/>
      <c r="K595" s="66" t="s">
        <v>6</v>
      </c>
      <c r="L595" s="66"/>
      <c r="M595" s="143" t="s">
        <v>1848</v>
      </c>
      <c r="N595" s="144" t="s">
        <v>6</v>
      </c>
      <c r="O595" s="6" t="s">
        <v>19</v>
      </c>
      <c r="P595" s="5" t="s">
        <v>1458</v>
      </c>
      <c r="Q595" s="5" t="s">
        <v>0</v>
      </c>
      <c r="R595" s="7" t="s">
        <v>1461</v>
      </c>
    </row>
    <row r="596" spans="1:18" ht="86.4">
      <c r="A596" s="196" t="str">
        <f>HYPERLINK("http://sipi.sic.gov.co/sipi/View.ashx?4475276","SD2022/0122787")</f>
        <v>SD2022/0122787</v>
      </c>
      <c r="B596" s="8" t="s">
        <v>1464</v>
      </c>
      <c r="C596" s="57" t="s">
        <v>7</v>
      </c>
      <c r="D596" s="104" t="s">
        <v>8</v>
      </c>
      <c r="E596" s="67"/>
      <c r="F596" s="68"/>
      <c r="G596" s="66" t="s">
        <v>6</v>
      </c>
      <c r="H596" s="66"/>
      <c r="I596" s="122"/>
      <c r="J596" s="68"/>
      <c r="K596" s="66" t="s">
        <v>6</v>
      </c>
      <c r="L596" s="66"/>
      <c r="M596" s="143" t="s">
        <v>1848</v>
      </c>
      <c r="N596" s="144" t="s">
        <v>6</v>
      </c>
      <c r="O596" s="6" t="s">
        <v>19</v>
      </c>
      <c r="P596" s="5" t="s">
        <v>1458</v>
      </c>
      <c r="Q596" s="5" t="s">
        <v>278</v>
      </c>
      <c r="R596" s="7" t="s">
        <v>1459</v>
      </c>
    </row>
    <row r="597" spans="1:18" ht="244.8">
      <c r="A597" s="196" t="str">
        <f>HYPERLINK("http://sipi.sic.gov.co/sipi/View.ashx?4476259","SD2022/0123051")</f>
        <v>SD2022/0123051</v>
      </c>
      <c r="B597" s="8" t="s">
        <v>1465</v>
      </c>
      <c r="C597" s="57" t="s">
        <v>13</v>
      </c>
      <c r="D597" s="104" t="s">
        <v>17</v>
      </c>
      <c r="E597" s="95" t="s">
        <v>1466</v>
      </c>
      <c r="F597" s="68" t="s">
        <v>1804</v>
      </c>
      <c r="G597" s="66" t="s">
        <v>1848</v>
      </c>
      <c r="H597" s="66" t="s">
        <v>9</v>
      </c>
      <c r="I597" s="122"/>
      <c r="J597" s="68"/>
      <c r="K597" s="66" t="s">
        <v>6</v>
      </c>
      <c r="L597" s="66"/>
      <c r="M597" s="143" t="s">
        <v>1848</v>
      </c>
      <c r="N597" s="144" t="s">
        <v>6</v>
      </c>
      <c r="O597" s="6" t="s">
        <v>9</v>
      </c>
      <c r="P597" s="5" t="s">
        <v>1467</v>
      </c>
      <c r="Q597" s="5" t="s">
        <v>1468</v>
      </c>
      <c r="R597" s="7" t="s">
        <v>1469</v>
      </c>
    </row>
    <row r="598" spans="1:18" ht="78">
      <c r="A598" s="196" t="str">
        <f>HYPERLINK("http://sipi.sic.gov.co/sipi/View.ashx?4476617","SD2022/0123104")</f>
        <v>SD2022/0123104</v>
      </c>
      <c r="B598" s="8" t="s">
        <v>1470</v>
      </c>
      <c r="C598" s="57" t="s">
        <v>13</v>
      </c>
      <c r="D598" s="104" t="s">
        <v>8</v>
      </c>
      <c r="E598" s="67"/>
      <c r="F598" s="68"/>
      <c r="G598" s="66" t="s">
        <v>6</v>
      </c>
      <c r="H598" s="66"/>
      <c r="I598" s="122"/>
      <c r="J598" s="68"/>
      <c r="K598" s="66" t="s">
        <v>6</v>
      </c>
      <c r="L598" s="66"/>
      <c r="M598" s="143" t="s">
        <v>1848</v>
      </c>
      <c r="N598" s="144" t="s">
        <v>6</v>
      </c>
      <c r="O598" s="6" t="s">
        <v>19</v>
      </c>
      <c r="P598" s="5" t="s">
        <v>1223</v>
      </c>
      <c r="Q598" s="5" t="s">
        <v>0</v>
      </c>
      <c r="R598" s="7" t="s">
        <v>1471</v>
      </c>
    </row>
    <row r="599" spans="1:18" ht="78">
      <c r="A599" s="196" t="str">
        <f>HYPERLINK("http://sipi.sic.gov.co/sipi/View.ashx?4476697","SD2022/0123119")</f>
        <v>SD2022/0123119</v>
      </c>
      <c r="B599" s="8" t="s">
        <v>1472</v>
      </c>
      <c r="C599" s="57" t="s">
        <v>7</v>
      </c>
      <c r="D599" s="104" t="s">
        <v>8</v>
      </c>
      <c r="E599" s="67"/>
      <c r="F599" s="68"/>
      <c r="G599" s="66" t="s">
        <v>6</v>
      </c>
      <c r="H599" s="66"/>
      <c r="I599" s="122"/>
      <c r="J599" s="68"/>
      <c r="K599" s="66" t="s">
        <v>6</v>
      </c>
      <c r="L599" s="66"/>
      <c r="M599" s="143" t="s">
        <v>1848</v>
      </c>
      <c r="N599" s="144" t="s">
        <v>6</v>
      </c>
      <c r="O599" s="6" t="s">
        <v>19</v>
      </c>
      <c r="P599" s="5" t="s">
        <v>1283</v>
      </c>
      <c r="Q599" s="5" t="s">
        <v>278</v>
      </c>
      <c r="R599" s="7" t="s">
        <v>1473</v>
      </c>
    </row>
    <row r="600" spans="1:18" ht="78">
      <c r="A600" s="196" t="str">
        <f>HYPERLINK("http://sipi.sic.gov.co/sipi/View.ashx?4480458","SD2022/0124049")</f>
        <v>SD2022/0124049</v>
      </c>
      <c r="B600" s="8" t="s">
        <v>6</v>
      </c>
      <c r="C600" s="57" t="s">
        <v>56</v>
      </c>
      <c r="D600" s="104" t="s">
        <v>8</v>
      </c>
      <c r="E600" s="67"/>
      <c r="F600" s="68"/>
      <c r="G600" s="66" t="s">
        <v>6</v>
      </c>
      <c r="H600" s="66"/>
      <c r="I600" s="122"/>
      <c r="J600" s="68"/>
      <c r="K600" s="66" t="s">
        <v>6</v>
      </c>
      <c r="L600" s="66"/>
      <c r="M600" s="143" t="s">
        <v>1848</v>
      </c>
      <c r="N600" s="144" t="s">
        <v>6</v>
      </c>
      <c r="O600" s="6" t="s">
        <v>19</v>
      </c>
      <c r="P600" s="5" t="s">
        <v>1474</v>
      </c>
      <c r="Q600" s="5" t="s">
        <v>0</v>
      </c>
      <c r="R600" s="7" t="s">
        <v>1475</v>
      </c>
    </row>
    <row r="601" spans="1:18" ht="409.6">
      <c r="A601" s="196" t="str">
        <f>HYPERLINK("http://sipi.sic.gov.co/sipi/View.ashx?4480960","SD2022/0124202")</f>
        <v>SD2022/0124202</v>
      </c>
      <c r="B601" s="8" t="s">
        <v>1476</v>
      </c>
      <c r="C601" s="57" t="s">
        <v>13</v>
      </c>
      <c r="D601" s="104" t="s">
        <v>8</v>
      </c>
      <c r="E601" s="67"/>
      <c r="F601" s="68"/>
      <c r="G601" s="66" t="s">
        <v>6</v>
      </c>
      <c r="H601" s="66"/>
      <c r="I601" s="122"/>
      <c r="J601" s="68"/>
      <c r="K601" s="66" t="s">
        <v>6</v>
      </c>
      <c r="L601" s="66"/>
      <c r="M601" s="143" t="s">
        <v>1848</v>
      </c>
      <c r="N601" s="144" t="s">
        <v>6</v>
      </c>
      <c r="O601" s="6" t="s">
        <v>19</v>
      </c>
      <c r="P601" s="5" t="s">
        <v>1477</v>
      </c>
      <c r="Q601" s="5" t="s">
        <v>0</v>
      </c>
      <c r="R601" s="7" t="s">
        <v>1478</v>
      </c>
    </row>
    <row r="602" spans="1:18" ht="78">
      <c r="A602" s="196" t="str">
        <f>HYPERLINK("http://sipi.sic.gov.co/sipi/View.ashx?4481582","SD2022/0124400")</f>
        <v>SD2022/0124400</v>
      </c>
      <c r="B602" s="8" t="s">
        <v>1479</v>
      </c>
      <c r="C602" s="57" t="s">
        <v>7</v>
      </c>
      <c r="D602" s="104" t="s">
        <v>8</v>
      </c>
      <c r="E602" s="67"/>
      <c r="F602" s="68"/>
      <c r="G602" s="66" t="s">
        <v>6</v>
      </c>
      <c r="H602" s="66"/>
      <c r="I602" s="122"/>
      <c r="J602" s="68"/>
      <c r="K602" s="66" t="s">
        <v>6</v>
      </c>
      <c r="L602" s="66"/>
      <c r="M602" s="143" t="s">
        <v>1848</v>
      </c>
      <c r="N602" s="144" t="s">
        <v>6</v>
      </c>
      <c r="O602" s="6" t="s">
        <v>19</v>
      </c>
      <c r="P602" s="5" t="s">
        <v>1458</v>
      </c>
      <c r="Q602" s="5" t="s">
        <v>0</v>
      </c>
      <c r="R602" s="7" t="s">
        <v>1461</v>
      </c>
    </row>
    <row r="603" spans="1:18" ht="86.4">
      <c r="A603" s="196" t="str">
        <f>HYPERLINK("http://sipi.sic.gov.co/sipi/View.ashx?4481693","SD2022/0124486")</f>
        <v>SD2022/0124486</v>
      </c>
      <c r="B603" s="8" t="s">
        <v>1480</v>
      </c>
      <c r="C603" s="57" t="s">
        <v>13</v>
      </c>
      <c r="D603" s="104" t="s">
        <v>8</v>
      </c>
      <c r="E603" s="67"/>
      <c r="F603" s="68"/>
      <c r="G603" s="66" t="s">
        <v>6</v>
      </c>
      <c r="H603" s="66"/>
      <c r="I603" s="122"/>
      <c r="J603" s="68"/>
      <c r="K603" s="66" t="s">
        <v>6</v>
      </c>
      <c r="L603" s="66"/>
      <c r="M603" s="143" t="s">
        <v>1848</v>
      </c>
      <c r="N603" s="144" t="s">
        <v>6</v>
      </c>
      <c r="O603" s="6" t="s">
        <v>9</v>
      </c>
      <c r="P603" s="5" t="s">
        <v>1481</v>
      </c>
      <c r="Q603" s="5" t="s">
        <v>1482</v>
      </c>
      <c r="R603" s="7" t="s">
        <v>1483</v>
      </c>
    </row>
    <row r="604" spans="1:18" ht="78">
      <c r="A604" s="196" t="str">
        <f>HYPERLINK("http://sipi.sic.gov.co/sipi/View.ashx?4481827","SD2022/0124474")</f>
        <v>SD2022/0124474</v>
      </c>
      <c r="B604" s="8" t="s">
        <v>1484</v>
      </c>
      <c r="C604" s="57" t="s">
        <v>7</v>
      </c>
      <c r="D604" s="104" t="s">
        <v>17</v>
      </c>
      <c r="E604" s="220" t="s">
        <v>1434</v>
      </c>
      <c r="F604" s="68" t="s">
        <v>1799</v>
      </c>
      <c r="G604" s="66" t="s">
        <v>1848</v>
      </c>
      <c r="H604" s="66" t="s">
        <v>9</v>
      </c>
      <c r="I604" s="122"/>
      <c r="J604" s="68"/>
      <c r="K604" s="66" t="s">
        <v>6</v>
      </c>
      <c r="L604" s="66"/>
      <c r="M604" s="143" t="s">
        <v>1848</v>
      </c>
      <c r="N604" s="144" t="s">
        <v>6</v>
      </c>
      <c r="O604" s="6" t="s">
        <v>19</v>
      </c>
      <c r="P604" s="5" t="s">
        <v>1458</v>
      </c>
      <c r="Q604" s="5" t="s">
        <v>0</v>
      </c>
      <c r="R604" s="7" t="s">
        <v>1461</v>
      </c>
    </row>
    <row r="605" spans="1:18" ht="78">
      <c r="A605" s="196" t="str">
        <f>HYPERLINK("http://sipi.sic.gov.co/sipi/View.ashx?4481930","SD2022/0124518")</f>
        <v>SD2022/0124518</v>
      </c>
      <c r="B605" s="8" t="s">
        <v>1485</v>
      </c>
      <c r="C605" s="57" t="s">
        <v>7</v>
      </c>
      <c r="D605" s="104" t="s">
        <v>8</v>
      </c>
      <c r="E605" s="67"/>
      <c r="F605" s="68"/>
      <c r="G605" s="66" t="s">
        <v>6</v>
      </c>
      <c r="H605" s="66"/>
      <c r="I605" s="122"/>
      <c r="J605" s="68"/>
      <c r="K605" s="66" t="s">
        <v>6</v>
      </c>
      <c r="L605" s="66"/>
      <c r="M605" s="143" t="s">
        <v>1848</v>
      </c>
      <c r="N605" s="144" t="s">
        <v>6</v>
      </c>
      <c r="O605" s="6" t="s">
        <v>19</v>
      </c>
      <c r="P605" s="5" t="s">
        <v>1458</v>
      </c>
      <c r="Q605" s="5" t="s">
        <v>0</v>
      </c>
      <c r="R605" s="7" t="s">
        <v>1461</v>
      </c>
    </row>
    <row r="606" spans="1:18" ht="78">
      <c r="A606" s="196" t="str">
        <f>HYPERLINK("http://sipi.sic.gov.co/sipi/View.ashx?4482080","SD2022/0124584")</f>
        <v>SD2022/0124584</v>
      </c>
      <c r="B606" s="8" t="s">
        <v>1486</v>
      </c>
      <c r="C606" s="57" t="s">
        <v>7</v>
      </c>
      <c r="D606" s="104" t="s">
        <v>17</v>
      </c>
      <c r="E606" s="95" t="s">
        <v>1487</v>
      </c>
      <c r="F606" s="68" t="s">
        <v>1809</v>
      </c>
      <c r="G606" s="66" t="s">
        <v>1848</v>
      </c>
      <c r="H606" s="66" t="s">
        <v>9</v>
      </c>
      <c r="I606" s="122"/>
      <c r="J606" s="68"/>
      <c r="K606" s="66" t="s">
        <v>6</v>
      </c>
      <c r="L606" s="66"/>
      <c r="M606" s="143" t="s">
        <v>1848</v>
      </c>
      <c r="N606" s="144" t="s">
        <v>6</v>
      </c>
      <c r="O606" s="6" t="s">
        <v>19</v>
      </c>
      <c r="P606" s="5" t="s">
        <v>1458</v>
      </c>
      <c r="Q606" s="5" t="s">
        <v>0</v>
      </c>
      <c r="R606" s="7" t="s">
        <v>1461</v>
      </c>
    </row>
    <row r="607" spans="1:18" ht="78">
      <c r="A607" s="196" t="str">
        <f>HYPERLINK("http://sipi.sic.gov.co/sipi/View.ashx?4482483","SD2022/0124751")</f>
        <v>SD2022/0124751</v>
      </c>
      <c r="B607" s="8" t="s">
        <v>1488</v>
      </c>
      <c r="C607" s="57" t="s">
        <v>7</v>
      </c>
      <c r="D607" s="104" t="s">
        <v>8</v>
      </c>
      <c r="E607" s="67"/>
      <c r="F607" s="68"/>
      <c r="G607" s="66" t="s">
        <v>6</v>
      </c>
      <c r="H607" s="66"/>
      <c r="I607" s="122"/>
      <c r="J607" s="68"/>
      <c r="K607" s="66" t="s">
        <v>6</v>
      </c>
      <c r="L607" s="66"/>
      <c r="M607" s="143" t="s">
        <v>1848</v>
      </c>
      <c r="N607" s="144" t="s">
        <v>6</v>
      </c>
      <c r="O607" s="6" t="s">
        <v>9</v>
      </c>
      <c r="P607" s="5" t="s">
        <v>1489</v>
      </c>
      <c r="Q607" s="5" t="s">
        <v>23</v>
      </c>
      <c r="R607" s="7" t="s">
        <v>1490</v>
      </c>
    </row>
    <row r="608" spans="1:18" ht="46.8">
      <c r="A608" s="196" t="str">
        <f>HYPERLINK("http://sipi.sic.gov.co/sipi/View.ashx?4482978","SD2022/0124903")</f>
        <v>SD2022/0124903</v>
      </c>
      <c r="B608" s="8" t="s">
        <v>1491</v>
      </c>
      <c r="C608" s="57" t="s">
        <v>13</v>
      </c>
      <c r="D608" s="104" t="s">
        <v>8</v>
      </c>
      <c r="E608" s="67"/>
      <c r="F608" s="68"/>
      <c r="G608" s="66" t="s">
        <v>6</v>
      </c>
      <c r="H608" s="66"/>
      <c r="I608" s="122"/>
      <c r="J608" s="68"/>
      <c r="K608" s="66" t="s">
        <v>6</v>
      </c>
      <c r="L608" s="66"/>
      <c r="M608" s="143" t="s">
        <v>1848</v>
      </c>
      <c r="N608" s="144" t="s">
        <v>6</v>
      </c>
      <c r="O608" s="6" t="s">
        <v>19</v>
      </c>
      <c r="P608" s="5" t="s">
        <v>1492</v>
      </c>
      <c r="Q608" s="5" t="s">
        <v>0</v>
      </c>
      <c r="R608" s="7" t="s">
        <v>1493</v>
      </c>
    </row>
    <row r="609" spans="1:18" ht="115.2">
      <c r="A609" s="196" t="str">
        <f>HYPERLINK("http://sipi.sic.gov.co/sipi/View.ashx?4484470","SD2022/0125527")</f>
        <v>SD2022/0125527</v>
      </c>
      <c r="B609" s="8" t="s">
        <v>1494</v>
      </c>
      <c r="C609" s="57" t="s">
        <v>7</v>
      </c>
      <c r="D609" s="104" t="s">
        <v>8</v>
      </c>
      <c r="E609" s="67"/>
      <c r="F609" s="68"/>
      <c r="G609" s="66" t="s">
        <v>6</v>
      </c>
      <c r="H609" s="66"/>
      <c r="I609" s="122"/>
      <c r="J609" s="68"/>
      <c r="K609" s="66" t="s">
        <v>6</v>
      </c>
      <c r="L609" s="66"/>
      <c r="M609" s="143" t="s">
        <v>1848</v>
      </c>
      <c r="N609" s="144" t="s">
        <v>6</v>
      </c>
      <c r="O609" s="6" t="s">
        <v>19</v>
      </c>
      <c r="P609" s="5" t="s">
        <v>1495</v>
      </c>
      <c r="Q609" s="5" t="s">
        <v>654</v>
      </c>
      <c r="R609" s="7" t="s">
        <v>1496</v>
      </c>
    </row>
    <row r="610" spans="1:18" ht="158.4">
      <c r="A610" s="196" t="str">
        <f>HYPERLINK("http://sipi.sic.gov.co/sipi/View.ashx?4485366","SD2022/0125613")</f>
        <v>SD2022/0125613</v>
      </c>
      <c r="B610" s="8" t="s">
        <v>1497</v>
      </c>
      <c r="C610" s="57" t="s">
        <v>13</v>
      </c>
      <c r="D610" s="104" t="s">
        <v>8</v>
      </c>
      <c r="E610" s="67"/>
      <c r="F610" s="68"/>
      <c r="G610" s="66" t="s">
        <v>6</v>
      </c>
      <c r="H610" s="66"/>
      <c r="I610" s="122"/>
      <c r="J610" s="68"/>
      <c r="K610" s="66" t="s">
        <v>6</v>
      </c>
      <c r="L610" s="66"/>
      <c r="M610" s="143" t="s">
        <v>1848</v>
      </c>
      <c r="N610" s="144" t="s">
        <v>6</v>
      </c>
      <c r="O610" s="6" t="s">
        <v>19</v>
      </c>
      <c r="P610" s="5" t="s">
        <v>1498</v>
      </c>
      <c r="Q610" s="5" t="s">
        <v>0</v>
      </c>
      <c r="R610" s="7" t="s">
        <v>1499</v>
      </c>
    </row>
    <row r="611" spans="1:18" ht="46.8">
      <c r="A611" s="196" t="str">
        <f>HYPERLINK("http://sipi.sic.gov.co/sipi/View.ashx?4486446","SD2022/0125827")</f>
        <v>SD2022/0125827</v>
      </c>
      <c r="B611" s="8" t="s">
        <v>1500</v>
      </c>
      <c r="C611" s="57" t="s">
        <v>7</v>
      </c>
      <c r="D611" s="104" t="s">
        <v>8</v>
      </c>
      <c r="E611" s="67"/>
      <c r="F611" s="68"/>
      <c r="G611" s="66" t="s">
        <v>6</v>
      </c>
      <c r="H611" s="66"/>
      <c r="I611" s="122"/>
      <c r="J611" s="68"/>
      <c r="K611" s="66" t="s">
        <v>6</v>
      </c>
      <c r="L611" s="66"/>
      <c r="M611" s="143" t="s">
        <v>1848</v>
      </c>
      <c r="N611" s="144" t="s">
        <v>6</v>
      </c>
      <c r="O611" s="6" t="s">
        <v>19</v>
      </c>
      <c r="P611" s="5" t="s">
        <v>1501</v>
      </c>
      <c r="Q611" s="5" t="s">
        <v>1502</v>
      </c>
      <c r="R611" s="7"/>
    </row>
    <row r="612" spans="1:18" ht="46.8">
      <c r="A612" s="196" t="str">
        <f>HYPERLINK("http://sipi.sic.gov.co/sipi/View.ashx?4489098","SD2022/0126460")</f>
        <v>SD2022/0126460</v>
      </c>
      <c r="B612" s="8" t="s">
        <v>1503</v>
      </c>
      <c r="C612" s="57" t="s">
        <v>7</v>
      </c>
      <c r="D612" s="104" t="s">
        <v>17</v>
      </c>
      <c r="E612" s="67" t="s">
        <v>1504</v>
      </c>
      <c r="F612" s="68" t="s">
        <v>1805</v>
      </c>
      <c r="G612" s="66" t="s">
        <v>1848</v>
      </c>
      <c r="H612" s="66" t="s">
        <v>9</v>
      </c>
      <c r="I612" s="122"/>
      <c r="J612" s="68"/>
      <c r="K612" s="66" t="s">
        <v>6</v>
      </c>
      <c r="L612" s="66"/>
      <c r="M612" s="143" t="s">
        <v>1848</v>
      </c>
      <c r="N612" s="144" t="s">
        <v>6</v>
      </c>
      <c r="O612" s="6" t="s">
        <v>19</v>
      </c>
      <c r="P612" s="5" t="s">
        <v>1505</v>
      </c>
      <c r="Q612" s="5" t="s">
        <v>0</v>
      </c>
      <c r="R612" s="7" t="s">
        <v>1506</v>
      </c>
    </row>
    <row r="613" spans="1:18" ht="46.8">
      <c r="A613" s="196" t="str">
        <f>HYPERLINK("http://sipi.sic.gov.co/sipi/View.ashx?4489143","SD2022/0126469")</f>
        <v>SD2022/0126469</v>
      </c>
      <c r="B613" s="8" t="s">
        <v>1507</v>
      </c>
      <c r="C613" s="57" t="s">
        <v>7</v>
      </c>
      <c r="D613" s="104" t="s">
        <v>8</v>
      </c>
      <c r="E613" s="67"/>
      <c r="F613" s="68"/>
      <c r="G613" s="66" t="s">
        <v>6</v>
      </c>
      <c r="H613" s="66"/>
      <c r="I613" s="122"/>
      <c r="J613" s="68"/>
      <c r="K613" s="66" t="s">
        <v>6</v>
      </c>
      <c r="L613" s="66"/>
      <c r="M613" s="143" t="s">
        <v>1848</v>
      </c>
      <c r="N613" s="144" t="s">
        <v>6</v>
      </c>
      <c r="O613" s="6" t="s">
        <v>19</v>
      </c>
      <c r="P613" s="5" t="s">
        <v>1505</v>
      </c>
      <c r="Q613" s="5" t="s">
        <v>0</v>
      </c>
      <c r="R613" s="7" t="s">
        <v>1506</v>
      </c>
    </row>
    <row r="614" spans="1:18" ht="62.4">
      <c r="A614" s="196" t="str">
        <f>HYPERLINK("http://sipi.sic.gov.co/sipi/View.ashx?4491461","SD2022/0126988")</f>
        <v>SD2022/0126988</v>
      </c>
      <c r="B614" s="8" t="s">
        <v>1508</v>
      </c>
      <c r="C614" s="57" t="s">
        <v>13</v>
      </c>
      <c r="D614" s="104" t="s">
        <v>8</v>
      </c>
      <c r="E614" s="67"/>
      <c r="F614" s="68"/>
      <c r="G614" s="66" t="s">
        <v>6</v>
      </c>
      <c r="H614" s="66"/>
      <c r="I614" s="122"/>
      <c r="J614" s="68"/>
      <c r="K614" s="66" t="s">
        <v>6</v>
      </c>
      <c r="L614" s="66"/>
      <c r="M614" s="143" t="s">
        <v>1848</v>
      </c>
      <c r="N614" s="144" t="s">
        <v>6</v>
      </c>
      <c r="O614" s="6" t="s">
        <v>9</v>
      </c>
      <c r="P614" s="5" t="s">
        <v>1509</v>
      </c>
      <c r="Q614" s="5" t="s">
        <v>0</v>
      </c>
      <c r="R614" s="7" t="s">
        <v>1510</v>
      </c>
    </row>
    <row r="615" spans="1:18" ht="72">
      <c r="A615" s="196" t="str">
        <f>HYPERLINK("http://sipi.sic.gov.co/sipi/View.ashx?4491469","SD2022/0131350")</f>
        <v>SD2022/0131350</v>
      </c>
      <c r="B615" s="8" t="s">
        <v>1511</v>
      </c>
      <c r="C615" s="57" t="s">
        <v>13</v>
      </c>
      <c r="D615" s="104" t="s">
        <v>8</v>
      </c>
      <c r="E615" s="67"/>
      <c r="F615" s="68"/>
      <c r="G615" s="66" t="s">
        <v>6</v>
      </c>
      <c r="H615" s="66"/>
      <c r="I615" s="122"/>
      <c r="J615" s="68"/>
      <c r="K615" s="66" t="s">
        <v>6</v>
      </c>
      <c r="L615" s="66"/>
      <c r="M615" s="143" t="s">
        <v>1848</v>
      </c>
      <c r="N615" s="144" t="s">
        <v>6</v>
      </c>
      <c r="O615" s="6" t="s">
        <v>19</v>
      </c>
      <c r="P615" s="5" t="s">
        <v>623</v>
      </c>
      <c r="Q615" s="5" t="s">
        <v>0</v>
      </c>
      <c r="R615" s="7" t="s">
        <v>11</v>
      </c>
    </row>
    <row r="616" spans="1:18" ht="129.6">
      <c r="A616" s="196" t="str">
        <f>HYPERLINK("http://sipi.sic.gov.co/sipi/View.ashx?4491913","SD2022/0127102")</f>
        <v>SD2022/0127102</v>
      </c>
      <c r="B616" s="8" t="s">
        <v>1512</v>
      </c>
      <c r="C616" s="57" t="s">
        <v>13</v>
      </c>
      <c r="D616" s="104" t="s">
        <v>8</v>
      </c>
      <c r="E616" s="67"/>
      <c r="F616" s="68"/>
      <c r="G616" s="66" t="s">
        <v>6</v>
      </c>
      <c r="H616" s="66"/>
      <c r="I616" s="122"/>
      <c r="J616" s="68"/>
      <c r="K616" s="66" t="s">
        <v>6</v>
      </c>
      <c r="L616" s="66"/>
      <c r="M616" s="143" t="s">
        <v>1848</v>
      </c>
      <c r="N616" s="144" t="s">
        <v>6</v>
      </c>
      <c r="O616" s="6" t="s">
        <v>19</v>
      </c>
      <c r="P616" s="5" t="s">
        <v>539</v>
      </c>
      <c r="Q616" s="5" t="s">
        <v>84</v>
      </c>
      <c r="R616" s="7" t="s">
        <v>1513</v>
      </c>
    </row>
    <row r="617" spans="1:18" ht="115.2">
      <c r="A617" s="196" t="str">
        <f>HYPERLINK("http://sipi.sic.gov.co/sipi/View.ashx?4493102","SD2022/0127409")</f>
        <v>SD2022/0127409</v>
      </c>
      <c r="B617" s="8" t="s">
        <v>1514</v>
      </c>
      <c r="C617" s="57" t="s">
        <v>13</v>
      </c>
      <c r="D617" s="104" t="s">
        <v>8</v>
      </c>
      <c r="E617" s="67"/>
      <c r="F617" s="68"/>
      <c r="G617" s="66" t="s">
        <v>6</v>
      </c>
      <c r="H617" s="66"/>
      <c r="I617" s="122"/>
      <c r="J617" s="68"/>
      <c r="K617" s="66" t="s">
        <v>6</v>
      </c>
      <c r="L617" s="66"/>
      <c r="M617" s="143" t="s">
        <v>1848</v>
      </c>
      <c r="N617" s="144" t="s">
        <v>6</v>
      </c>
      <c r="O617" s="6" t="s">
        <v>19</v>
      </c>
      <c r="P617" s="5" t="s">
        <v>1515</v>
      </c>
      <c r="Q617" s="5" t="s">
        <v>23</v>
      </c>
      <c r="R617" s="7" t="s">
        <v>292</v>
      </c>
    </row>
    <row r="618" spans="1:18" ht="15.6">
      <c r="A618" s="197" t="str">
        <f>HYPERLINK("http://sipi.sic.gov.co/sipi/View.ashx?4493642","SD2022/0127575")</f>
        <v>SD2022/0127575</v>
      </c>
      <c r="B618" s="156" t="s">
        <v>1516</v>
      </c>
      <c r="C618" s="159" t="s">
        <v>7</v>
      </c>
      <c r="D618" s="160" t="s">
        <v>17</v>
      </c>
      <c r="E618" s="192" t="s">
        <v>1517</v>
      </c>
      <c r="F618" s="161" t="s">
        <v>1810</v>
      </c>
      <c r="G618" s="66" t="s">
        <v>1855</v>
      </c>
      <c r="H618" s="66" t="s">
        <v>9</v>
      </c>
      <c r="I618" s="122"/>
      <c r="J618" s="68"/>
      <c r="K618" s="66"/>
      <c r="L618" s="66"/>
      <c r="M618" s="143" t="s">
        <v>6</v>
      </c>
      <c r="N618" s="144" t="s">
        <v>6</v>
      </c>
      <c r="O618" s="6"/>
      <c r="P618" s="5"/>
      <c r="Q618" s="5"/>
      <c r="R618" s="7"/>
    </row>
    <row r="619" spans="1:18" ht="72">
      <c r="A619" s="198"/>
      <c r="B619" s="156" t="s">
        <v>1516</v>
      </c>
      <c r="C619" s="159" t="s">
        <v>7</v>
      </c>
      <c r="D619" s="160" t="s">
        <v>17</v>
      </c>
      <c r="E619" s="192" t="s">
        <v>1517</v>
      </c>
      <c r="F619" s="161" t="s">
        <v>1810</v>
      </c>
      <c r="G619" s="66" t="s">
        <v>1853</v>
      </c>
      <c r="H619" s="66" t="s">
        <v>9</v>
      </c>
      <c r="I619" s="122"/>
      <c r="J619" s="68"/>
      <c r="M619" s="143" t="s">
        <v>1848</v>
      </c>
      <c r="N619" s="144" t="s">
        <v>1853</v>
      </c>
      <c r="O619" s="6" t="s">
        <v>19</v>
      </c>
      <c r="P619" s="5" t="s">
        <v>1518</v>
      </c>
      <c r="Q619" s="5" t="s">
        <v>0</v>
      </c>
      <c r="R619" s="7" t="s">
        <v>1519</v>
      </c>
    </row>
    <row r="620" spans="1:18" ht="72">
      <c r="A620" s="196" t="str">
        <f>HYPERLINK("http://sipi.sic.gov.co/sipi/View.ashx?4497768","SD2022/0128534")</f>
        <v>SD2022/0128534</v>
      </c>
      <c r="B620" s="8" t="s">
        <v>1520</v>
      </c>
      <c r="C620" s="57" t="s">
        <v>13</v>
      </c>
      <c r="D620" s="104" t="s">
        <v>8</v>
      </c>
      <c r="E620" s="67"/>
      <c r="F620" s="68"/>
      <c r="G620" s="66" t="s">
        <v>6</v>
      </c>
      <c r="H620" s="66"/>
      <c r="I620" s="122"/>
      <c r="J620" s="68"/>
      <c r="K620" s="66" t="s">
        <v>6</v>
      </c>
      <c r="L620" s="66"/>
      <c r="M620" s="143" t="s">
        <v>1848</v>
      </c>
      <c r="N620" s="144" t="s">
        <v>6</v>
      </c>
      <c r="O620" s="6" t="s">
        <v>9</v>
      </c>
      <c r="P620" s="5" t="s">
        <v>1521</v>
      </c>
      <c r="Q620" s="5" t="s">
        <v>0</v>
      </c>
      <c r="R620" s="7" t="s">
        <v>1522</v>
      </c>
    </row>
    <row r="621" spans="1:18" ht="72">
      <c r="A621" s="196" t="str">
        <f>HYPERLINK("http://sipi.sic.gov.co/sipi/View.ashx?4499509","SD2022/0128901")</f>
        <v>SD2022/0128901</v>
      </c>
      <c r="B621" s="8" t="s">
        <v>1523</v>
      </c>
      <c r="C621" s="57" t="s">
        <v>13</v>
      </c>
      <c r="D621" s="104" t="s">
        <v>8</v>
      </c>
      <c r="E621" s="67"/>
      <c r="F621" s="68"/>
      <c r="G621" s="66" t="s">
        <v>6</v>
      </c>
      <c r="H621" s="66"/>
      <c r="I621" s="122"/>
      <c r="J621" s="68"/>
      <c r="K621" s="66" t="s">
        <v>6</v>
      </c>
      <c r="L621" s="66"/>
      <c r="M621" s="143" t="s">
        <v>1849</v>
      </c>
      <c r="N621" s="144" t="s">
        <v>6</v>
      </c>
      <c r="O621" s="6" t="s">
        <v>19</v>
      </c>
      <c r="P621" s="5" t="s">
        <v>1524</v>
      </c>
      <c r="Q621" s="5" t="s">
        <v>0</v>
      </c>
      <c r="R621" s="7" t="s">
        <v>11</v>
      </c>
    </row>
    <row r="622" spans="1:18" ht="72">
      <c r="A622" s="196" t="str">
        <f>HYPERLINK("http://sipi.sic.gov.co/sipi/View.ashx?4499596","SD2022/0128918")</f>
        <v>SD2022/0128918</v>
      </c>
      <c r="B622" s="8" t="s">
        <v>1525</v>
      </c>
      <c r="C622" s="57" t="s">
        <v>13</v>
      </c>
      <c r="D622" s="104" t="s">
        <v>8</v>
      </c>
      <c r="E622" s="67"/>
      <c r="F622" s="68"/>
      <c r="G622" s="66" t="s">
        <v>6</v>
      </c>
      <c r="H622" s="66"/>
      <c r="I622" s="122"/>
      <c r="J622" s="68"/>
      <c r="K622" s="66" t="s">
        <v>6</v>
      </c>
      <c r="L622" s="66"/>
      <c r="M622" s="143" t="s">
        <v>1848</v>
      </c>
      <c r="N622" s="144" t="s">
        <v>6</v>
      </c>
      <c r="O622" s="6" t="s">
        <v>19</v>
      </c>
      <c r="P622" s="5" t="s">
        <v>1524</v>
      </c>
      <c r="Q622" s="5" t="s">
        <v>0</v>
      </c>
      <c r="R622" s="7" t="s">
        <v>11</v>
      </c>
    </row>
    <row r="623" spans="1:18" ht="72">
      <c r="A623" s="196" t="str">
        <f>HYPERLINK("http://sipi.sic.gov.co/sipi/View.ashx?4503162","SD2022/0129962")</f>
        <v>SD2022/0129962</v>
      </c>
      <c r="B623" s="8" t="s">
        <v>1526</v>
      </c>
      <c r="C623" s="57" t="s">
        <v>7</v>
      </c>
      <c r="D623" s="104" t="s">
        <v>8</v>
      </c>
      <c r="E623" s="67"/>
      <c r="F623" s="68"/>
      <c r="G623" s="66" t="s">
        <v>6</v>
      </c>
      <c r="H623" s="66"/>
      <c r="I623" s="122"/>
      <c r="J623" s="68"/>
      <c r="K623" s="66" t="s">
        <v>6</v>
      </c>
      <c r="L623" s="66"/>
      <c r="M623" s="143" t="s">
        <v>1848</v>
      </c>
      <c r="N623" s="144" t="s">
        <v>6</v>
      </c>
      <c r="O623" s="6" t="s">
        <v>19</v>
      </c>
      <c r="P623" s="5" t="s">
        <v>659</v>
      </c>
      <c r="Q623" s="5" t="s">
        <v>0</v>
      </c>
      <c r="R623" s="7" t="s">
        <v>1527</v>
      </c>
    </row>
    <row r="624" spans="1:18" ht="15.6">
      <c r="A624" s="197" t="str">
        <f>HYPERLINK("http://sipi.sic.gov.co/sipi/View.ashx?4503260","SD2022/0129905")</f>
        <v>SD2022/0129905</v>
      </c>
      <c r="B624" s="156" t="s">
        <v>1528</v>
      </c>
      <c r="C624" s="159" t="s">
        <v>7</v>
      </c>
      <c r="D624" s="160" t="s">
        <v>17</v>
      </c>
      <c r="E624" s="192" t="s">
        <v>1529</v>
      </c>
      <c r="F624" s="161" t="s">
        <v>1811</v>
      </c>
      <c r="G624" s="70" t="s">
        <v>1864</v>
      </c>
      <c r="H624" s="70" t="s">
        <v>9</v>
      </c>
      <c r="I624" s="122"/>
      <c r="J624" s="68"/>
      <c r="K624" s="66"/>
      <c r="L624" s="66"/>
      <c r="M624" s="143" t="s">
        <v>6</v>
      </c>
      <c r="N624" s="144" t="s">
        <v>6</v>
      </c>
      <c r="O624" s="6"/>
      <c r="P624" s="5"/>
      <c r="Q624" s="5"/>
      <c r="R624" s="7"/>
    </row>
    <row r="625" spans="1:18" ht="15.6">
      <c r="A625" s="201"/>
      <c r="B625" s="156" t="s">
        <v>1528</v>
      </c>
      <c r="C625" s="159" t="s">
        <v>7</v>
      </c>
      <c r="D625" s="160" t="s">
        <v>17</v>
      </c>
      <c r="E625" s="192" t="s">
        <v>1529</v>
      </c>
      <c r="F625" s="161" t="s">
        <v>1811</v>
      </c>
      <c r="G625" s="66" t="s">
        <v>1859</v>
      </c>
      <c r="H625" s="66" t="s">
        <v>9</v>
      </c>
      <c r="I625" s="122"/>
      <c r="J625" s="68"/>
      <c r="K625" s="66"/>
      <c r="L625" s="66"/>
      <c r="M625" s="143" t="s">
        <v>6</v>
      </c>
      <c r="N625" s="144" t="s">
        <v>6</v>
      </c>
      <c r="O625" s="6"/>
      <c r="P625" s="5"/>
      <c r="Q625" s="5"/>
      <c r="R625" s="7"/>
    </row>
    <row r="626" spans="1:18" ht="409.6">
      <c r="A626" s="198"/>
      <c r="B626" s="156" t="s">
        <v>1528</v>
      </c>
      <c r="C626" s="159" t="s">
        <v>7</v>
      </c>
      <c r="D626" s="160" t="s">
        <v>17</v>
      </c>
      <c r="E626" s="192" t="s">
        <v>1529</v>
      </c>
      <c r="F626" s="161" t="s">
        <v>1811</v>
      </c>
      <c r="G626" s="66" t="s">
        <v>1849</v>
      </c>
      <c r="H626" s="66" t="s">
        <v>9</v>
      </c>
      <c r="I626" s="122"/>
      <c r="J626" s="68"/>
      <c r="M626" s="143" t="s">
        <v>1849</v>
      </c>
      <c r="N626" s="144" t="s">
        <v>6</v>
      </c>
      <c r="O626" s="6" t="s">
        <v>19</v>
      </c>
      <c r="P626" s="5" t="s">
        <v>1530</v>
      </c>
      <c r="Q626" s="5" t="s">
        <v>0</v>
      </c>
      <c r="R626" s="7" t="s">
        <v>1531</v>
      </c>
    </row>
    <row r="627" spans="1:18" ht="62.4">
      <c r="A627" s="196" t="str">
        <f>HYPERLINK("http://sipi.sic.gov.co/sipi/View.ashx?4503653","SD2022/0136020")</f>
        <v>SD2022/0136020</v>
      </c>
      <c r="B627" s="8" t="s">
        <v>1532</v>
      </c>
      <c r="C627" s="57" t="s">
        <v>7</v>
      </c>
      <c r="D627" s="104" t="s">
        <v>8</v>
      </c>
      <c r="E627" s="67"/>
      <c r="F627" s="68"/>
      <c r="G627" s="66" t="s">
        <v>6</v>
      </c>
      <c r="H627" s="66"/>
      <c r="I627" s="122"/>
      <c r="J627" s="68"/>
      <c r="K627" s="66" t="s">
        <v>6</v>
      </c>
      <c r="L627" s="66"/>
      <c r="M627" s="143" t="s">
        <v>1848</v>
      </c>
      <c r="N627" s="144" t="s">
        <v>6</v>
      </c>
      <c r="O627" s="6" t="s">
        <v>9</v>
      </c>
      <c r="P627" s="5" t="s">
        <v>1533</v>
      </c>
      <c r="Q627" s="5" t="s">
        <v>0</v>
      </c>
      <c r="R627" s="7" t="s">
        <v>1534</v>
      </c>
    </row>
    <row r="628" spans="1:18" ht="72">
      <c r="A628" s="196" t="str">
        <f>HYPERLINK("http://sipi.sic.gov.co/sipi/View.ashx?4507785","SD2022/0131033")</f>
        <v>SD2022/0131033</v>
      </c>
      <c r="B628" s="8" t="s">
        <v>1535</v>
      </c>
      <c r="C628" s="57" t="s">
        <v>13</v>
      </c>
      <c r="D628" s="104" t="s">
        <v>8</v>
      </c>
      <c r="E628" s="67"/>
      <c r="F628" s="68"/>
      <c r="G628" s="66" t="s">
        <v>6</v>
      </c>
      <c r="H628" s="66"/>
      <c r="I628" s="122"/>
      <c r="J628" s="68"/>
      <c r="K628" s="66" t="s">
        <v>6</v>
      </c>
      <c r="L628" s="66"/>
      <c r="M628" s="143" t="s">
        <v>1848</v>
      </c>
      <c r="N628" s="144" t="s">
        <v>6</v>
      </c>
      <c r="O628" s="6" t="s">
        <v>19</v>
      </c>
      <c r="P628" s="5" t="s">
        <v>1536</v>
      </c>
      <c r="Q628" s="5" t="s">
        <v>0</v>
      </c>
      <c r="R628" s="7" t="s">
        <v>11</v>
      </c>
    </row>
    <row r="629" spans="1:18" ht="46.8">
      <c r="A629" s="196" t="str">
        <f>HYPERLINK("http://sipi.sic.gov.co/sipi/View.ashx?4507800","SD2022/0131065")</f>
        <v>SD2022/0131065</v>
      </c>
      <c r="B629" s="8" t="s">
        <v>1537</v>
      </c>
      <c r="C629" s="57" t="s">
        <v>7</v>
      </c>
      <c r="D629" s="104" t="s">
        <v>17</v>
      </c>
      <c r="E629" s="67" t="s">
        <v>1538</v>
      </c>
      <c r="F629" s="68" t="s">
        <v>1812</v>
      </c>
      <c r="G629" s="66" t="s">
        <v>1848</v>
      </c>
      <c r="H629" s="66" t="s">
        <v>9</v>
      </c>
      <c r="I629" s="122"/>
      <c r="J629" s="68"/>
      <c r="K629" s="66" t="s">
        <v>6</v>
      </c>
      <c r="L629" s="66"/>
      <c r="M629" s="143" t="s">
        <v>1848</v>
      </c>
      <c r="N629" s="144" t="s">
        <v>6</v>
      </c>
      <c r="O629" s="6" t="s">
        <v>19</v>
      </c>
      <c r="P629" s="5" t="s">
        <v>1539</v>
      </c>
      <c r="Q629" s="5" t="s">
        <v>0</v>
      </c>
      <c r="R629" s="7" t="s">
        <v>260</v>
      </c>
    </row>
    <row r="630" spans="1:18" ht="100.8">
      <c r="A630" s="196" t="str">
        <f>HYPERLINK("http://sipi.sic.gov.co/sipi/View.ashx?4508284","SD2022/0131173")</f>
        <v>SD2022/0131173</v>
      </c>
      <c r="B630" s="8" t="s">
        <v>1540</v>
      </c>
      <c r="C630" s="57" t="s">
        <v>7</v>
      </c>
      <c r="D630" s="104" t="s">
        <v>17</v>
      </c>
      <c r="E630" s="220" t="s">
        <v>1876</v>
      </c>
      <c r="F630" s="68" t="s">
        <v>1774</v>
      </c>
      <c r="G630" s="66" t="s">
        <v>1848</v>
      </c>
      <c r="H630" s="66" t="s">
        <v>19</v>
      </c>
      <c r="I630" s="122"/>
      <c r="J630" s="68"/>
      <c r="K630" s="66" t="s">
        <v>6</v>
      </c>
      <c r="L630" s="66"/>
      <c r="M630" s="143" t="s">
        <v>1848</v>
      </c>
      <c r="N630" s="144" t="s">
        <v>6</v>
      </c>
      <c r="O630" s="6" t="s">
        <v>19</v>
      </c>
      <c r="P630" s="5" t="s">
        <v>1541</v>
      </c>
      <c r="Q630" s="5" t="s">
        <v>0</v>
      </c>
      <c r="R630" s="7" t="s">
        <v>1542</v>
      </c>
    </row>
    <row r="631" spans="1:18" ht="46.8">
      <c r="A631" s="196" t="str">
        <f>HYPERLINK("http://sipi.sic.gov.co/sipi/View.ashx?4510326","SD2022/0131672")</f>
        <v>SD2022/0131672</v>
      </c>
      <c r="B631" s="8" t="s">
        <v>1543</v>
      </c>
      <c r="C631" s="57" t="s">
        <v>7</v>
      </c>
      <c r="D631" s="104" t="s">
        <v>17</v>
      </c>
      <c r="E631" s="95" t="s">
        <v>1544</v>
      </c>
      <c r="F631" s="68" t="s">
        <v>1813</v>
      </c>
      <c r="G631" s="66" t="s">
        <v>1848</v>
      </c>
      <c r="H631" s="66" t="s">
        <v>9</v>
      </c>
      <c r="I631" s="122"/>
      <c r="J631" s="68"/>
      <c r="K631" s="66" t="s">
        <v>6</v>
      </c>
      <c r="L631" s="66"/>
      <c r="M631" s="143" t="s">
        <v>1848</v>
      </c>
      <c r="N631" s="144" t="s">
        <v>6</v>
      </c>
      <c r="O631" s="6" t="s">
        <v>19</v>
      </c>
      <c r="P631" s="5" t="s">
        <v>1539</v>
      </c>
      <c r="Q631" s="5" t="s">
        <v>0</v>
      </c>
      <c r="R631" s="7" t="s">
        <v>260</v>
      </c>
    </row>
    <row r="632" spans="1:18" ht="316.8">
      <c r="A632" s="196" t="str">
        <f>HYPERLINK("http://sipi.sic.gov.co/sipi/View.ashx?4511923","SD2022/0132316")</f>
        <v>SD2022/0132316</v>
      </c>
      <c r="B632" s="8" t="s">
        <v>1545</v>
      </c>
      <c r="C632" s="57" t="s">
        <v>7</v>
      </c>
      <c r="D632" s="104" t="s">
        <v>8</v>
      </c>
      <c r="E632" s="67"/>
      <c r="F632" s="68"/>
      <c r="G632" s="66" t="s">
        <v>6</v>
      </c>
      <c r="H632" s="66"/>
      <c r="I632" s="122"/>
      <c r="J632" s="68"/>
      <c r="K632" s="66" t="s">
        <v>6</v>
      </c>
      <c r="L632" s="66"/>
      <c r="M632" s="143" t="s">
        <v>1848</v>
      </c>
      <c r="N632" s="144" t="s">
        <v>6</v>
      </c>
      <c r="O632" s="6" t="s">
        <v>19</v>
      </c>
      <c r="P632" s="5" t="s">
        <v>1546</v>
      </c>
      <c r="Q632" s="5" t="s">
        <v>58</v>
      </c>
      <c r="R632" s="7" t="s">
        <v>1547</v>
      </c>
    </row>
    <row r="633" spans="1:18" ht="86.4">
      <c r="A633" s="196" t="str">
        <f>HYPERLINK("http://sipi.sic.gov.co/sipi/View.ashx?4512476","SD2022/0133412")</f>
        <v>SD2022/0133412</v>
      </c>
      <c r="B633" s="8" t="s">
        <v>1548</v>
      </c>
      <c r="C633" s="57" t="s">
        <v>13</v>
      </c>
      <c r="D633" s="104" t="s">
        <v>8</v>
      </c>
      <c r="E633" s="67"/>
      <c r="F633" s="68"/>
      <c r="G633" s="66" t="s">
        <v>6</v>
      </c>
      <c r="H633" s="66"/>
      <c r="I633" s="122"/>
      <c r="J633" s="68"/>
      <c r="K633" s="66" t="s">
        <v>6</v>
      </c>
      <c r="L633" s="66"/>
      <c r="M633" s="143" t="s">
        <v>1848</v>
      </c>
      <c r="N633" s="144" t="s">
        <v>6</v>
      </c>
      <c r="O633" s="6" t="s">
        <v>9</v>
      </c>
      <c r="P633" s="5" t="s">
        <v>1549</v>
      </c>
      <c r="Q633" s="5" t="s">
        <v>0</v>
      </c>
      <c r="R633" s="7" t="s">
        <v>1550</v>
      </c>
    </row>
    <row r="634" spans="1:18" ht="244.8">
      <c r="A634" s="196" t="str">
        <f>HYPERLINK("http://sipi.sic.gov.co/sipi/View.ashx?4513884","SD2022/0135145")</f>
        <v>SD2022/0135145</v>
      </c>
      <c r="B634" s="8" t="s">
        <v>1551</v>
      </c>
      <c r="C634" s="57" t="s">
        <v>7</v>
      </c>
      <c r="D634" s="104" t="s">
        <v>17</v>
      </c>
      <c r="E634" s="67" t="s">
        <v>1552</v>
      </c>
      <c r="F634" s="68" t="s">
        <v>1830</v>
      </c>
      <c r="G634" s="66" t="s">
        <v>1848</v>
      </c>
      <c r="H634" s="66" t="s">
        <v>9</v>
      </c>
      <c r="I634" s="122"/>
      <c r="J634" s="68"/>
      <c r="K634" s="66" t="s">
        <v>6</v>
      </c>
      <c r="L634" s="66"/>
      <c r="M634" s="143" t="s">
        <v>1848</v>
      </c>
      <c r="N634" s="144" t="s">
        <v>6</v>
      </c>
      <c r="O634" s="6" t="s">
        <v>19</v>
      </c>
      <c r="P634" s="5" t="s">
        <v>1553</v>
      </c>
      <c r="Q634" s="5" t="s">
        <v>0</v>
      </c>
      <c r="R634" s="7" t="s">
        <v>1554</v>
      </c>
    </row>
    <row r="635" spans="1:18" ht="57.6">
      <c r="A635" s="196" t="str">
        <f>HYPERLINK("http://sipi.sic.gov.co/sipi/View.ashx?4515798","SD2022/0133233")</f>
        <v>SD2022/0133233</v>
      </c>
      <c r="B635" s="8" t="s">
        <v>1555</v>
      </c>
      <c r="C635" s="57" t="s">
        <v>13</v>
      </c>
      <c r="D635" s="104" t="s">
        <v>8</v>
      </c>
      <c r="E635" s="67"/>
      <c r="F635" s="68"/>
      <c r="G635" s="66" t="s">
        <v>6</v>
      </c>
      <c r="H635" s="66"/>
      <c r="I635" s="122"/>
      <c r="J635" s="68"/>
      <c r="K635" s="66" t="s">
        <v>6</v>
      </c>
      <c r="L635" s="66"/>
      <c r="M635" s="143" t="s">
        <v>1848</v>
      </c>
      <c r="N635" s="144" t="s">
        <v>6</v>
      </c>
      <c r="O635" s="6" t="s">
        <v>9</v>
      </c>
      <c r="P635" s="5" t="s">
        <v>1556</v>
      </c>
      <c r="Q635" s="5" t="s">
        <v>106</v>
      </c>
      <c r="R635" s="7" t="s">
        <v>1557</v>
      </c>
    </row>
    <row r="636" spans="1:18" ht="100.8">
      <c r="A636" s="196" t="str">
        <f>HYPERLINK("http://sipi.sic.gov.co/sipi/View.ashx?4515822","SD2022/0133231")</f>
        <v>SD2022/0133231</v>
      </c>
      <c r="B636" s="8" t="s">
        <v>1558</v>
      </c>
      <c r="C636" s="57" t="s">
        <v>7</v>
      </c>
      <c r="D636" s="104" t="s">
        <v>8</v>
      </c>
      <c r="E636" s="67"/>
      <c r="F636" s="68"/>
      <c r="G636" s="66" t="s">
        <v>6</v>
      </c>
      <c r="H636" s="66"/>
      <c r="I636" s="122"/>
      <c r="J636" s="68"/>
      <c r="K636" s="66" t="s">
        <v>6</v>
      </c>
      <c r="L636" s="66"/>
      <c r="M636" s="143" t="s">
        <v>1848</v>
      </c>
      <c r="N636" s="144" t="s">
        <v>6</v>
      </c>
      <c r="O636" s="6" t="s">
        <v>9</v>
      </c>
      <c r="P636" s="5" t="s">
        <v>1556</v>
      </c>
      <c r="Q636" s="5" t="s">
        <v>23</v>
      </c>
      <c r="R636" s="7" t="s">
        <v>1559</v>
      </c>
    </row>
    <row r="637" spans="1:18" ht="115.2">
      <c r="A637" s="196" t="str">
        <f>HYPERLINK("http://sipi.sic.gov.co/sipi/View.ashx?4517105","SD2022/0133531")</f>
        <v>SD2022/0133531</v>
      </c>
      <c r="B637" s="8" t="s">
        <v>1560</v>
      </c>
      <c r="C637" s="57" t="s">
        <v>7</v>
      </c>
      <c r="D637" s="104" t="s">
        <v>8</v>
      </c>
      <c r="E637" s="67"/>
      <c r="F637" s="68"/>
      <c r="G637" s="66" t="s">
        <v>6</v>
      </c>
      <c r="H637" s="66"/>
      <c r="I637" s="122"/>
      <c r="J637" s="68"/>
      <c r="K637" s="66" t="s">
        <v>6</v>
      </c>
      <c r="L637" s="66"/>
      <c r="M637" s="143" t="s">
        <v>1849</v>
      </c>
      <c r="N637" s="144" t="s">
        <v>6</v>
      </c>
      <c r="O637" s="6" t="s">
        <v>19</v>
      </c>
      <c r="P637" s="5" t="s">
        <v>1561</v>
      </c>
      <c r="Q637" s="5" t="s">
        <v>23</v>
      </c>
      <c r="R637" s="7" t="s">
        <v>1562</v>
      </c>
    </row>
    <row r="638" spans="1:18" ht="72">
      <c r="A638" s="196" t="str">
        <f>HYPERLINK("http://sipi.sic.gov.co/sipi/View.ashx?4517190","SD2022/0133579")</f>
        <v>SD2022/0133579</v>
      </c>
      <c r="B638" s="8" t="s">
        <v>1563</v>
      </c>
      <c r="C638" s="57" t="s">
        <v>13</v>
      </c>
      <c r="D638" s="104" t="s">
        <v>8</v>
      </c>
      <c r="E638" s="67"/>
      <c r="F638" s="68"/>
      <c r="G638" s="66" t="s">
        <v>6</v>
      </c>
      <c r="H638" s="66"/>
      <c r="I638" s="122"/>
      <c r="J638" s="68"/>
      <c r="K638" s="66" t="s">
        <v>6</v>
      </c>
      <c r="L638" s="66"/>
      <c r="M638" s="143" t="s">
        <v>1848</v>
      </c>
      <c r="N638" s="144" t="s">
        <v>6</v>
      </c>
      <c r="O638" s="6" t="s">
        <v>19</v>
      </c>
      <c r="P638" s="5" t="s">
        <v>1564</v>
      </c>
      <c r="Q638" s="5" t="s">
        <v>0</v>
      </c>
      <c r="R638" s="7" t="s">
        <v>11</v>
      </c>
    </row>
    <row r="639" spans="1:18" ht="409.6">
      <c r="A639" s="196" t="str">
        <f>HYPERLINK("http://sipi.sic.gov.co/sipi/View.ashx?4517681","SD2022/0137432")</f>
        <v>SD2022/0137432</v>
      </c>
      <c r="B639" s="8" t="s">
        <v>1565</v>
      </c>
      <c r="C639" s="57" t="s">
        <v>13</v>
      </c>
      <c r="D639" s="104" t="s">
        <v>8</v>
      </c>
      <c r="E639" s="67"/>
      <c r="F639" s="68"/>
      <c r="G639" s="66" t="s">
        <v>6</v>
      </c>
      <c r="H639" s="66"/>
      <c r="I639" s="122"/>
      <c r="J639" s="68"/>
      <c r="K639" s="66" t="s">
        <v>6</v>
      </c>
      <c r="L639" s="66"/>
      <c r="M639" s="143" t="s">
        <v>1848</v>
      </c>
      <c r="N639" s="144" t="s">
        <v>6</v>
      </c>
      <c r="O639" s="6" t="s">
        <v>19</v>
      </c>
      <c r="P639" s="5" t="s">
        <v>1566</v>
      </c>
      <c r="Q639" s="5" t="s">
        <v>1567</v>
      </c>
      <c r="R639" s="7" t="s">
        <v>1568</v>
      </c>
    </row>
    <row r="640" spans="1:18" ht="15.6">
      <c r="A640" s="197" t="str">
        <f>HYPERLINK("http://sipi.sic.gov.co/sipi/View.ashx?4518542","SD2022/0133969")</f>
        <v>SD2022/0133969</v>
      </c>
      <c r="B640" s="156" t="s">
        <v>1569</v>
      </c>
      <c r="C640" s="159" t="s">
        <v>7</v>
      </c>
      <c r="D640" s="160" t="s">
        <v>17</v>
      </c>
      <c r="E640" s="192" t="s">
        <v>1570</v>
      </c>
      <c r="F640" s="161" t="s">
        <v>1806</v>
      </c>
      <c r="G640" s="66" t="s">
        <v>1851</v>
      </c>
      <c r="H640" s="66" t="s">
        <v>9</v>
      </c>
      <c r="I640" s="122"/>
      <c r="J640" s="68"/>
      <c r="K640" s="66"/>
      <c r="L640" s="66"/>
      <c r="M640" s="143" t="s">
        <v>6</v>
      </c>
      <c r="N640" s="144" t="s">
        <v>6</v>
      </c>
      <c r="O640" s="6"/>
      <c r="P640" s="5"/>
      <c r="Q640" s="5"/>
      <c r="R640" s="7"/>
    </row>
    <row r="641" spans="1:18" ht="46.8">
      <c r="A641" s="198"/>
      <c r="B641" s="156" t="s">
        <v>1569</v>
      </c>
      <c r="C641" s="159" t="s">
        <v>7</v>
      </c>
      <c r="D641" s="160" t="s">
        <v>17</v>
      </c>
      <c r="E641" s="192" t="s">
        <v>1570</v>
      </c>
      <c r="F641" s="161" t="s">
        <v>1806</v>
      </c>
      <c r="G641" s="66" t="s">
        <v>1848</v>
      </c>
      <c r="H641" s="66" t="s">
        <v>9</v>
      </c>
      <c r="I641" s="122"/>
      <c r="J641" s="68"/>
      <c r="M641" s="143" t="s">
        <v>1848</v>
      </c>
      <c r="N641" s="144" t="s">
        <v>6</v>
      </c>
      <c r="O641" s="6" t="s">
        <v>19</v>
      </c>
      <c r="P641" s="5" t="s">
        <v>1571</v>
      </c>
      <c r="Q641" s="5" t="s">
        <v>0</v>
      </c>
      <c r="R641" s="7" t="s">
        <v>1572</v>
      </c>
    </row>
    <row r="642" spans="1:18" ht="46.8">
      <c r="A642" s="196" t="str">
        <f>HYPERLINK("http://sipi.sic.gov.co/sipi/View.ashx?4518728","SD2022/0134082")</f>
        <v>SD2022/0134082</v>
      </c>
      <c r="B642" s="8" t="s">
        <v>1573</v>
      </c>
      <c r="C642" s="57" t="s">
        <v>7</v>
      </c>
      <c r="D642" s="104" t="s">
        <v>17</v>
      </c>
      <c r="E642" s="67" t="s">
        <v>1574</v>
      </c>
      <c r="F642" s="68" t="s">
        <v>1814</v>
      </c>
      <c r="G642" s="66" t="s">
        <v>1848</v>
      </c>
      <c r="H642" s="66" t="s">
        <v>19</v>
      </c>
      <c r="I642" s="122"/>
      <c r="J642" s="68"/>
      <c r="K642" s="66" t="s">
        <v>6</v>
      </c>
      <c r="L642" s="66"/>
      <c r="M642" s="143" t="s">
        <v>1848</v>
      </c>
      <c r="N642" s="144" t="s">
        <v>6</v>
      </c>
      <c r="O642" s="6" t="s">
        <v>19</v>
      </c>
      <c r="P642" s="5" t="s">
        <v>1571</v>
      </c>
      <c r="Q642" s="5" t="s">
        <v>0</v>
      </c>
      <c r="R642" s="7" t="s">
        <v>1572</v>
      </c>
    </row>
    <row r="643" spans="1:18" ht="72">
      <c r="A643" s="196" t="str">
        <f>HYPERLINK("http://sipi.sic.gov.co/sipi/View.ashx?4519385","SD2022/0135458")</f>
        <v>SD2022/0135458</v>
      </c>
      <c r="B643" s="8" t="s">
        <v>1575</v>
      </c>
      <c r="C643" s="57" t="s">
        <v>7</v>
      </c>
      <c r="D643" s="104" t="s">
        <v>17</v>
      </c>
      <c r="E643" s="95" t="s">
        <v>1576</v>
      </c>
      <c r="F643" s="68" t="s">
        <v>1815</v>
      </c>
      <c r="G643" s="66" t="s">
        <v>1848</v>
      </c>
      <c r="H643" s="66" t="s">
        <v>19</v>
      </c>
      <c r="I643" s="122"/>
      <c r="J643" s="68"/>
      <c r="K643" s="66" t="s">
        <v>6</v>
      </c>
      <c r="L643" s="66"/>
      <c r="M643" s="143" t="s">
        <v>1849</v>
      </c>
      <c r="N643" s="144" t="s">
        <v>6</v>
      </c>
      <c r="O643" s="6" t="s">
        <v>9</v>
      </c>
      <c r="P643" s="5" t="s">
        <v>1577</v>
      </c>
      <c r="Q643" s="5" t="s">
        <v>278</v>
      </c>
      <c r="R643" s="7" t="s">
        <v>1578</v>
      </c>
    </row>
    <row r="644" spans="1:18" ht="78">
      <c r="A644" s="196" t="str">
        <f>HYPERLINK("http://sipi.sic.gov.co/sipi/View.ashx?4520776","SD2022/0135322")</f>
        <v>SD2022/0135322</v>
      </c>
      <c r="B644" s="8" t="s">
        <v>1579</v>
      </c>
      <c r="C644" s="57" t="s">
        <v>7</v>
      </c>
      <c r="D644" s="104" t="s">
        <v>17</v>
      </c>
      <c r="E644" s="67" t="s">
        <v>1580</v>
      </c>
      <c r="F644" s="68" t="s">
        <v>1816</v>
      </c>
      <c r="G644" s="66" t="s">
        <v>1848</v>
      </c>
      <c r="H644" s="66" t="s">
        <v>9</v>
      </c>
      <c r="I644" s="122"/>
      <c r="J644" s="68"/>
      <c r="K644" s="66" t="s">
        <v>6</v>
      </c>
      <c r="L644" s="66"/>
      <c r="M644" s="143" t="s">
        <v>1848</v>
      </c>
      <c r="N644" s="144" t="s">
        <v>6</v>
      </c>
      <c r="O644" s="6" t="s">
        <v>19</v>
      </c>
      <c r="P644" s="5" t="s">
        <v>1581</v>
      </c>
      <c r="Q644" s="5" t="s">
        <v>278</v>
      </c>
      <c r="R644" s="7" t="s">
        <v>1582</v>
      </c>
    </row>
    <row r="645" spans="1:18" ht="15.6">
      <c r="A645" s="197" t="str">
        <f>HYPERLINK("http://sipi.sic.gov.co/sipi/View.ashx?4521395","SD2022/0135312")</f>
        <v>SD2022/0135312</v>
      </c>
      <c r="B645" s="156" t="s">
        <v>1583</v>
      </c>
      <c r="C645" s="159" t="s">
        <v>7</v>
      </c>
      <c r="D645" s="160" t="s">
        <v>17</v>
      </c>
      <c r="E645" s="192" t="s">
        <v>1584</v>
      </c>
      <c r="F645" s="161" t="s">
        <v>1817</v>
      </c>
      <c r="G645" s="66" t="s">
        <v>1851</v>
      </c>
      <c r="H645" s="66" t="s">
        <v>9</v>
      </c>
      <c r="I645" s="122"/>
      <c r="J645" s="68"/>
      <c r="K645" s="66"/>
      <c r="L645" s="66"/>
      <c r="M645" s="143" t="s">
        <v>6</v>
      </c>
      <c r="N645" s="144" t="s">
        <v>6</v>
      </c>
      <c r="O645" s="6"/>
      <c r="P645" s="5"/>
      <c r="Q645" s="5"/>
      <c r="R645" s="7"/>
    </row>
    <row r="646" spans="1:18" ht="409.6">
      <c r="A646" s="198"/>
      <c r="B646" s="156" t="s">
        <v>1583</v>
      </c>
      <c r="C646" s="159" t="s">
        <v>7</v>
      </c>
      <c r="D646" s="160" t="s">
        <v>17</v>
      </c>
      <c r="E646" s="192" t="s">
        <v>1584</v>
      </c>
      <c r="F646" s="161" t="s">
        <v>1817</v>
      </c>
      <c r="G646" s="66" t="s">
        <v>1848</v>
      </c>
      <c r="H646" s="66" t="s">
        <v>9</v>
      </c>
      <c r="I646" s="122"/>
      <c r="J646" s="68"/>
      <c r="M646" s="143" t="s">
        <v>1848</v>
      </c>
      <c r="N646" s="144" t="s">
        <v>1851</v>
      </c>
      <c r="O646" s="6" t="s">
        <v>19</v>
      </c>
      <c r="P646" s="5" t="s">
        <v>1530</v>
      </c>
      <c r="Q646" s="5" t="s">
        <v>23</v>
      </c>
      <c r="R646" s="7" t="s">
        <v>1585</v>
      </c>
    </row>
    <row r="647" spans="1:18" ht="78">
      <c r="A647" s="196" t="str">
        <f>HYPERLINK("http://sipi.sic.gov.co/sipi/View.ashx?4521802","SD2022/0136516")</f>
        <v>SD2022/0136516</v>
      </c>
      <c r="B647" s="8" t="s">
        <v>1586</v>
      </c>
      <c r="C647" s="57" t="s">
        <v>7</v>
      </c>
      <c r="D647" s="104" t="s">
        <v>8</v>
      </c>
      <c r="E647" s="67"/>
      <c r="F647" s="68"/>
      <c r="G647" s="66" t="s">
        <v>6</v>
      </c>
      <c r="H647" s="66"/>
      <c r="I647" s="122"/>
      <c r="J647" s="68"/>
      <c r="K647" s="66" t="s">
        <v>6</v>
      </c>
      <c r="L647" s="66"/>
      <c r="M647" s="143" t="s">
        <v>1848</v>
      </c>
      <c r="N647" s="144" t="s">
        <v>6</v>
      </c>
      <c r="O647" s="6" t="s">
        <v>19</v>
      </c>
      <c r="P647" s="5" t="s">
        <v>1587</v>
      </c>
      <c r="Q647" s="5" t="s">
        <v>0</v>
      </c>
      <c r="R647" s="7" t="s">
        <v>1588</v>
      </c>
    </row>
    <row r="648" spans="1:18" ht="78">
      <c r="A648" s="196" t="str">
        <f>HYPERLINK("http://sipi.sic.gov.co/sipi/View.ashx?4521806","SD2022/0136521")</f>
        <v>SD2022/0136521</v>
      </c>
      <c r="B648" s="8" t="s">
        <v>1589</v>
      </c>
      <c r="C648" s="57" t="s">
        <v>7</v>
      </c>
      <c r="D648" s="104" t="s">
        <v>8</v>
      </c>
      <c r="E648" s="67"/>
      <c r="F648" s="68"/>
      <c r="G648" s="66" t="s">
        <v>6</v>
      </c>
      <c r="H648" s="66"/>
      <c r="I648" s="122"/>
      <c r="J648" s="68"/>
      <c r="K648" s="66" t="s">
        <v>6</v>
      </c>
      <c r="L648" s="66"/>
      <c r="M648" s="143" t="s">
        <v>1848</v>
      </c>
      <c r="N648" s="144" t="s">
        <v>6</v>
      </c>
      <c r="O648" s="6" t="s">
        <v>19</v>
      </c>
      <c r="P648" s="5" t="s">
        <v>1587</v>
      </c>
      <c r="Q648" s="5" t="s">
        <v>0</v>
      </c>
      <c r="R648" s="7" t="s">
        <v>1588</v>
      </c>
    </row>
    <row r="649" spans="1:18" ht="201.6">
      <c r="A649" s="196" t="str">
        <f>HYPERLINK("http://sipi.sic.gov.co/sipi/View.ashx?4523885","SD2022/0136739")</f>
        <v>SD2022/0136739</v>
      </c>
      <c r="B649" s="8" t="s">
        <v>1590</v>
      </c>
      <c r="C649" s="57" t="s">
        <v>13</v>
      </c>
      <c r="D649" s="104" t="s">
        <v>8</v>
      </c>
      <c r="E649" s="67"/>
      <c r="F649" s="68"/>
      <c r="G649" s="66" t="s">
        <v>6</v>
      </c>
      <c r="H649" s="66"/>
      <c r="I649" s="122"/>
      <c r="J649" s="68"/>
      <c r="K649" s="66" t="s">
        <v>6</v>
      </c>
      <c r="L649" s="66"/>
      <c r="M649" s="143" t="s">
        <v>1848</v>
      </c>
      <c r="N649" s="144" t="s">
        <v>6</v>
      </c>
      <c r="O649" s="6" t="s">
        <v>19</v>
      </c>
      <c r="P649" s="5" t="s">
        <v>1591</v>
      </c>
      <c r="Q649" s="5" t="s">
        <v>0</v>
      </c>
      <c r="R649" s="7" t="s">
        <v>1592</v>
      </c>
    </row>
    <row r="650" spans="1:18" ht="15.6">
      <c r="A650" s="197" t="str">
        <f>HYPERLINK("http://sipi.sic.gov.co/sipi/View.ashx?4526640","SD2022/0137768")</f>
        <v>SD2022/0137768</v>
      </c>
      <c r="B650" s="156" t="s">
        <v>1593</v>
      </c>
      <c r="C650" s="159" t="s">
        <v>7</v>
      </c>
      <c r="D650" s="160" t="s">
        <v>17</v>
      </c>
      <c r="E650" s="224" t="s">
        <v>1698</v>
      </c>
      <c r="F650" s="161" t="s">
        <v>1808</v>
      </c>
      <c r="G650" s="66" t="s">
        <v>1860</v>
      </c>
      <c r="H650" s="66" t="s">
        <v>9</v>
      </c>
      <c r="I650" s="122"/>
      <c r="J650" s="68"/>
      <c r="K650" s="66"/>
      <c r="L650" s="66"/>
      <c r="M650" s="143" t="s">
        <v>6</v>
      </c>
      <c r="N650" s="144" t="s">
        <v>6</v>
      </c>
      <c r="O650" s="6"/>
      <c r="P650" s="5"/>
      <c r="Q650" s="5"/>
      <c r="R650" s="7"/>
    </row>
    <row r="651" spans="1:18" ht="187.2">
      <c r="A651" s="198"/>
      <c r="B651" s="156" t="s">
        <v>1593</v>
      </c>
      <c r="C651" s="159" t="s">
        <v>7</v>
      </c>
      <c r="D651" s="160" t="s">
        <v>17</v>
      </c>
      <c r="E651" s="224" t="s">
        <v>1698</v>
      </c>
      <c r="F651" s="161" t="s">
        <v>1808</v>
      </c>
      <c r="G651" s="66" t="s">
        <v>1848</v>
      </c>
      <c r="H651" s="66" t="s">
        <v>9</v>
      </c>
      <c r="I651" s="122"/>
      <c r="J651" s="68"/>
      <c r="M651" s="143" t="s">
        <v>1848</v>
      </c>
      <c r="N651" s="144" t="s">
        <v>6</v>
      </c>
      <c r="O651" s="6" t="s">
        <v>19</v>
      </c>
      <c r="P651" s="5" t="s">
        <v>1594</v>
      </c>
      <c r="Q651" s="5" t="s">
        <v>58</v>
      </c>
      <c r="R651" s="7" t="s">
        <v>1595</v>
      </c>
    </row>
    <row r="652" spans="1:18" ht="46.8">
      <c r="A652" s="196" t="str">
        <f>HYPERLINK("http://sipi.sic.gov.co/sipi/View.ashx?4527998","SD2022/0138149")</f>
        <v>SD2022/0138149</v>
      </c>
      <c r="B652" s="8" t="s">
        <v>1596</v>
      </c>
      <c r="C652" s="57" t="s">
        <v>7</v>
      </c>
      <c r="D652" s="104" t="s">
        <v>8</v>
      </c>
      <c r="E652" s="67"/>
      <c r="F652" s="68"/>
      <c r="G652" s="66" t="s">
        <v>6</v>
      </c>
      <c r="H652" s="66"/>
      <c r="I652" s="122"/>
      <c r="J652" s="68"/>
      <c r="K652" s="66" t="s">
        <v>6</v>
      </c>
      <c r="L652" s="66"/>
      <c r="M652" s="143" t="s">
        <v>1849</v>
      </c>
      <c r="N652" s="144" t="s">
        <v>6</v>
      </c>
      <c r="O652" s="6" t="s">
        <v>19</v>
      </c>
      <c r="P652" s="5" t="s">
        <v>869</v>
      </c>
      <c r="Q652" s="5" t="s">
        <v>0</v>
      </c>
      <c r="R652" s="7" t="s">
        <v>52</v>
      </c>
    </row>
    <row r="653" spans="1:18" ht="72">
      <c r="A653" s="196" t="str">
        <f>HYPERLINK("http://sipi.sic.gov.co/sipi/View.ashx?4528163","SD2022/0139556")</f>
        <v>SD2022/0139556</v>
      </c>
      <c r="B653" s="8" t="s">
        <v>1597</v>
      </c>
      <c r="C653" s="57" t="s">
        <v>13</v>
      </c>
      <c r="D653" s="104" t="s">
        <v>8</v>
      </c>
      <c r="E653" s="67"/>
      <c r="F653" s="68"/>
      <c r="G653" s="66" t="s">
        <v>6</v>
      </c>
      <c r="H653" s="66"/>
      <c r="I653" s="122"/>
      <c r="J653" s="68"/>
      <c r="K653" s="66" t="s">
        <v>6</v>
      </c>
      <c r="L653" s="66"/>
      <c r="M653" s="143" t="s">
        <v>1848</v>
      </c>
      <c r="N653" s="144" t="s">
        <v>6</v>
      </c>
      <c r="O653" s="6" t="s">
        <v>19</v>
      </c>
      <c r="P653" s="5" t="s">
        <v>1598</v>
      </c>
      <c r="Q653" s="5" t="s">
        <v>0</v>
      </c>
      <c r="R653" s="7" t="s">
        <v>11</v>
      </c>
    </row>
    <row r="654" spans="1:18" ht="409.6">
      <c r="A654" s="196" t="str">
        <f>HYPERLINK("http://sipi.sic.gov.co/sipi/View.ashx?4528397","SD2022/0138264")</f>
        <v>SD2022/0138264</v>
      </c>
      <c r="B654" s="8" t="s">
        <v>1599</v>
      </c>
      <c r="C654" s="57" t="s">
        <v>7</v>
      </c>
      <c r="D654" s="104" t="s">
        <v>8</v>
      </c>
      <c r="E654" s="67"/>
      <c r="F654" s="68"/>
      <c r="G654" s="66" t="s">
        <v>6</v>
      </c>
      <c r="H654" s="66"/>
      <c r="I654" s="122"/>
      <c r="J654" s="68"/>
      <c r="K654" s="66" t="s">
        <v>6</v>
      </c>
      <c r="L654" s="66"/>
      <c r="M654" s="143" t="s">
        <v>1848</v>
      </c>
      <c r="N654" s="144" t="s">
        <v>6</v>
      </c>
      <c r="O654" s="6" t="s">
        <v>19</v>
      </c>
      <c r="P654" s="5" t="s">
        <v>1530</v>
      </c>
      <c r="Q654" s="5" t="s">
        <v>23</v>
      </c>
      <c r="R654" s="7" t="s">
        <v>1600</v>
      </c>
    </row>
    <row r="655" spans="1:18" ht="409.6">
      <c r="A655" s="196" t="str">
        <f>HYPERLINK("http://sipi.sic.gov.co/sipi/View.ashx?4528530","SD2022/0138298")</f>
        <v>SD2022/0138298</v>
      </c>
      <c r="B655" s="8" t="s">
        <v>1601</v>
      </c>
      <c r="C655" s="57" t="s">
        <v>7</v>
      </c>
      <c r="D655" s="104" t="s">
        <v>8</v>
      </c>
      <c r="E655" s="67"/>
      <c r="F655" s="68"/>
      <c r="G655" s="66" t="s">
        <v>6</v>
      </c>
      <c r="H655" s="66"/>
      <c r="I655" s="122"/>
      <c r="J655" s="68"/>
      <c r="K655" s="66" t="s">
        <v>6</v>
      </c>
      <c r="L655" s="66"/>
      <c r="M655" s="143" t="s">
        <v>1849</v>
      </c>
      <c r="N655" s="144" t="s">
        <v>6</v>
      </c>
      <c r="O655" s="6" t="s">
        <v>19</v>
      </c>
      <c r="P655" s="5" t="s">
        <v>1530</v>
      </c>
      <c r="Q655" s="5" t="s">
        <v>23</v>
      </c>
      <c r="R655" s="7" t="s">
        <v>1602</v>
      </c>
    </row>
    <row r="656" spans="1:18" ht="409.6">
      <c r="A656" s="196" t="str">
        <f>HYPERLINK("http://sipi.sic.gov.co/sipi/View.ashx?4528540","SD2022/0138301")</f>
        <v>SD2022/0138301</v>
      </c>
      <c r="B656" s="8" t="s">
        <v>1603</v>
      </c>
      <c r="C656" s="57" t="s">
        <v>7</v>
      </c>
      <c r="D656" s="104" t="s">
        <v>17</v>
      </c>
      <c r="E656" s="69" t="s">
        <v>586</v>
      </c>
      <c r="F656" s="68" t="s">
        <v>1737</v>
      </c>
      <c r="G656" s="66" t="s">
        <v>1848</v>
      </c>
      <c r="H656" s="66" t="s">
        <v>9</v>
      </c>
      <c r="I656" s="122"/>
      <c r="J656" s="68"/>
      <c r="K656" s="66" t="s">
        <v>6</v>
      </c>
      <c r="L656" s="66"/>
      <c r="M656" s="143" t="s">
        <v>1848</v>
      </c>
      <c r="N656" s="144" t="s">
        <v>6</v>
      </c>
      <c r="O656" s="6" t="s">
        <v>19</v>
      </c>
      <c r="P656" s="5" t="s">
        <v>1530</v>
      </c>
      <c r="Q656" s="5" t="s">
        <v>23</v>
      </c>
      <c r="R656" s="7" t="s">
        <v>1604</v>
      </c>
    </row>
    <row r="657" spans="1:18" ht="46.8">
      <c r="A657" s="196" t="str">
        <f>HYPERLINK("http://sipi.sic.gov.co/sipi/View.ashx?4530027","SD2022/0138679")</f>
        <v>SD2022/0138679</v>
      </c>
      <c r="B657" s="8" t="s">
        <v>1605</v>
      </c>
      <c r="C657" s="57" t="s">
        <v>7</v>
      </c>
      <c r="D657" s="104" t="s">
        <v>17</v>
      </c>
      <c r="E657" s="67" t="s">
        <v>1606</v>
      </c>
      <c r="F657" s="68" t="s">
        <v>1807</v>
      </c>
      <c r="G657" s="66" t="s">
        <v>1848</v>
      </c>
      <c r="H657" s="66" t="s">
        <v>19</v>
      </c>
      <c r="I657" s="122"/>
      <c r="J657" s="68"/>
      <c r="K657" s="66" t="s">
        <v>6</v>
      </c>
      <c r="L657" s="66"/>
      <c r="M657" s="143" t="s">
        <v>1848</v>
      </c>
      <c r="N657" s="144" t="s">
        <v>6</v>
      </c>
      <c r="O657" s="6" t="s">
        <v>9</v>
      </c>
      <c r="P657" s="5" t="s">
        <v>869</v>
      </c>
      <c r="Q657" s="5" t="s">
        <v>0</v>
      </c>
      <c r="R657" s="7" t="s">
        <v>52</v>
      </c>
    </row>
    <row r="658" spans="1:18" ht="46.8">
      <c r="A658" s="196" t="str">
        <f>HYPERLINK("http://sipi.sic.gov.co/sipi/View.ashx?4530144","SD2022/0138714")</f>
        <v>SD2022/0138714</v>
      </c>
      <c r="B658" s="8" t="s">
        <v>1607</v>
      </c>
      <c r="C658" s="57" t="s">
        <v>7</v>
      </c>
      <c r="D658" s="104" t="s">
        <v>8</v>
      </c>
      <c r="E658" s="67"/>
      <c r="F658" s="68"/>
      <c r="G658" s="66" t="s">
        <v>6</v>
      </c>
      <c r="H658" s="66"/>
      <c r="I658" s="122"/>
      <c r="J658" s="68"/>
      <c r="K658" s="66" t="s">
        <v>6</v>
      </c>
      <c r="L658" s="66"/>
      <c r="M658" s="143" t="s">
        <v>1848</v>
      </c>
      <c r="N658" s="144" t="s">
        <v>6</v>
      </c>
      <c r="O658" s="6" t="s">
        <v>19</v>
      </c>
      <c r="P658" s="5" t="s">
        <v>869</v>
      </c>
      <c r="Q658" s="5" t="s">
        <v>0</v>
      </c>
      <c r="R658" s="7" t="s">
        <v>52</v>
      </c>
    </row>
    <row r="659" spans="1:18" ht="57.6">
      <c r="A659" s="196" t="str">
        <f>HYPERLINK("http://sipi.sic.gov.co/sipi/View.ashx?4530190","SD2022/0139372")</f>
        <v>SD2022/0139372</v>
      </c>
      <c r="B659" s="8" t="s">
        <v>1608</v>
      </c>
      <c r="C659" s="57" t="s">
        <v>13</v>
      </c>
      <c r="D659" s="104" t="s">
        <v>8</v>
      </c>
      <c r="E659" s="67"/>
      <c r="F659" s="68"/>
      <c r="G659" s="66" t="s">
        <v>6</v>
      </c>
      <c r="H659" s="66"/>
      <c r="I659" s="122"/>
      <c r="J659" s="68"/>
      <c r="K659" s="66" t="s">
        <v>6</v>
      </c>
      <c r="L659" s="66"/>
      <c r="M659" s="143" t="s">
        <v>1848</v>
      </c>
      <c r="N659" s="144" t="s">
        <v>6</v>
      </c>
      <c r="O659" s="6" t="s">
        <v>9</v>
      </c>
      <c r="P659" s="5" t="s">
        <v>1203</v>
      </c>
      <c r="Q659" s="5" t="s">
        <v>0</v>
      </c>
      <c r="R659" s="7" t="s">
        <v>1204</v>
      </c>
    </row>
    <row r="660" spans="1:18" ht="57.6">
      <c r="A660" s="196" t="str">
        <f>HYPERLINK("http://sipi.sic.gov.co/sipi/View.ashx?4530261","SD2022/0139427")</f>
        <v>SD2022/0139427</v>
      </c>
      <c r="B660" s="8" t="s">
        <v>1609</v>
      </c>
      <c r="C660" s="57" t="s">
        <v>7</v>
      </c>
      <c r="D660" s="104" t="s">
        <v>8</v>
      </c>
      <c r="E660" s="67"/>
      <c r="F660" s="68"/>
      <c r="G660" s="66" t="s">
        <v>6</v>
      </c>
      <c r="H660" s="66"/>
      <c r="I660" s="122"/>
      <c r="J660" s="68"/>
      <c r="K660" s="66" t="s">
        <v>6</v>
      </c>
      <c r="L660" s="66"/>
      <c r="M660" s="143" t="s">
        <v>1848</v>
      </c>
      <c r="N660" s="144" t="s">
        <v>6</v>
      </c>
      <c r="O660" s="6" t="s">
        <v>9</v>
      </c>
      <c r="P660" s="5" t="s">
        <v>1203</v>
      </c>
      <c r="Q660" s="5" t="s">
        <v>0</v>
      </c>
      <c r="R660" s="7" t="s">
        <v>1204</v>
      </c>
    </row>
    <row r="661" spans="1:18" ht="43.2">
      <c r="A661" s="196" t="str">
        <f>HYPERLINK("http://sipi.sic.gov.co/sipi/View.ashx?4530805","SD2022/0138893")</f>
        <v>SD2022/0138893</v>
      </c>
      <c r="B661" s="8" t="s">
        <v>1610</v>
      </c>
      <c r="C661" s="57" t="s">
        <v>13</v>
      </c>
      <c r="D661" s="104" t="s">
        <v>8</v>
      </c>
      <c r="E661" s="67"/>
      <c r="F661" s="68"/>
      <c r="G661" s="66" t="s">
        <v>6</v>
      </c>
      <c r="H661" s="66"/>
      <c r="I661" s="122"/>
      <c r="J661" s="68"/>
      <c r="K661" s="66" t="s">
        <v>6</v>
      </c>
      <c r="L661" s="66"/>
      <c r="M661" s="143" t="s">
        <v>1848</v>
      </c>
      <c r="N661" s="144" t="s">
        <v>6</v>
      </c>
      <c r="O661" s="6" t="s">
        <v>9</v>
      </c>
      <c r="P661" s="5" t="s">
        <v>1611</v>
      </c>
      <c r="Q661" s="5" t="s">
        <v>0</v>
      </c>
      <c r="R661" s="7" t="s">
        <v>1612</v>
      </c>
    </row>
    <row r="662" spans="1:18" ht="46.8">
      <c r="A662" s="196" t="str">
        <f>HYPERLINK("http://sipi.sic.gov.co/sipi/View.ashx?4530880","SD2022/0138917")</f>
        <v>SD2022/0138917</v>
      </c>
      <c r="B662" s="8" t="s">
        <v>1613</v>
      </c>
      <c r="C662" s="57" t="s">
        <v>7</v>
      </c>
      <c r="D662" s="104" t="s">
        <v>8</v>
      </c>
      <c r="E662" s="67"/>
      <c r="F662" s="68"/>
      <c r="G662" s="66" t="s">
        <v>6</v>
      </c>
      <c r="H662" s="66"/>
      <c r="I662" s="122"/>
      <c r="J662" s="68"/>
      <c r="K662" s="66" t="s">
        <v>6</v>
      </c>
      <c r="L662" s="66"/>
      <c r="M662" s="143" t="s">
        <v>1848</v>
      </c>
      <c r="N662" s="144" t="s">
        <v>6</v>
      </c>
      <c r="O662" s="6" t="s">
        <v>19</v>
      </c>
      <c r="P662" s="5" t="s">
        <v>869</v>
      </c>
      <c r="Q662" s="5" t="s">
        <v>0</v>
      </c>
      <c r="R662" s="7" t="s">
        <v>52</v>
      </c>
    </row>
    <row r="663" spans="1:18" ht="46.8">
      <c r="A663" s="196" t="str">
        <f>HYPERLINK("http://sipi.sic.gov.co/sipi/View.ashx?4531025","SD2022/0141111")</f>
        <v>SD2022/0141111</v>
      </c>
      <c r="B663" s="8" t="s">
        <v>1614</v>
      </c>
      <c r="C663" s="57" t="s">
        <v>7</v>
      </c>
      <c r="D663" s="104" t="s">
        <v>17</v>
      </c>
      <c r="E663" s="67" t="s">
        <v>1615</v>
      </c>
      <c r="F663" s="68" t="s">
        <v>1831</v>
      </c>
      <c r="G663" s="66" t="s">
        <v>1848</v>
      </c>
      <c r="H663" s="66" t="s">
        <v>9</v>
      </c>
      <c r="I663" s="122"/>
      <c r="J663" s="68"/>
      <c r="K663" s="66" t="s">
        <v>6</v>
      </c>
      <c r="L663" s="66"/>
      <c r="M663" s="143" t="s">
        <v>1848</v>
      </c>
      <c r="N663" s="144" t="s">
        <v>6</v>
      </c>
      <c r="O663" s="6" t="s">
        <v>19</v>
      </c>
      <c r="P663" s="5" t="s">
        <v>869</v>
      </c>
      <c r="Q663" s="5" t="s">
        <v>0</v>
      </c>
      <c r="R663" s="7" t="s">
        <v>52</v>
      </c>
    </row>
    <row r="664" spans="1:18" ht="78">
      <c r="A664" s="196" t="str">
        <f>HYPERLINK("http://sipi.sic.gov.co/sipi/View.ashx?4531037","SD2022/0139024")</f>
        <v>SD2022/0139024</v>
      </c>
      <c r="B664" s="8" t="s">
        <v>1616</v>
      </c>
      <c r="C664" s="57" t="s">
        <v>7</v>
      </c>
      <c r="D664" s="104" t="s">
        <v>8</v>
      </c>
      <c r="E664" s="67"/>
      <c r="F664" s="68"/>
      <c r="G664" s="66" t="s">
        <v>6</v>
      </c>
      <c r="H664" s="66"/>
      <c r="I664" s="122"/>
      <c r="J664" s="68"/>
      <c r="K664" s="66" t="s">
        <v>6</v>
      </c>
      <c r="L664" s="66"/>
      <c r="M664" s="143" t="s">
        <v>1848</v>
      </c>
      <c r="N664" s="144" t="s">
        <v>6</v>
      </c>
      <c r="O664" s="6" t="s">
        <v>9</v>
      </c>
      <c r="P664" s="5" t="s">
        <v>1039</v>
      </c>
      <c r="Q664" s="5" t="s">
        <v>0</v>
      </c>
      <c r="R664" s="7" t="s">
        <v>1040</v>
      </c>
    </row>
    <row r="665" spans="1:18" ht="46.8">
      <c r="A665" s="196" t="str">
        <f>HYPERLINK("http://sipi.sic.gov.co/sipi/View.ashx?4531078","SD2022/0141163")</f>
        <v>SD2022/0141163</v>
      </c>
      <c r="B665" s="8" t="s">
        <v>1617</v>
      </c>
      <c r="C665" s="57" t="s">
        <v>7</v>
      </c>
      <c r="D665" s="104" t="s">
        <v>17</v>
      </c>
      <c r="E665" s="67" t="s">
        <v>1618</v>
      </c>
      <c r="F665" s="68" t="s">
        <v>1832</v>
      </c>
      <c r="G665" s="66" t="s">
        <v>1848</v>
      </c>
      <c r="H665" s="66" t="s">
        <v>9</v>
      </c>
      <c r="I665" s="122"/>
      <c r="J665" s="68"/>
      <c r="K665" s="66" t="s">
        <v>6</v>
      </c>
      <c r="L665" s="66"/>
      <c r="M665" s="143" t="s">
        <v>1848</v>
      </c>
      <c r="N665" s="144" t="s">
        <v>6</v>
      </c>
      <c r="O665" s="6" t="s">
        <v>19</v>
      </c>
      <c r="P665" s="5" t="s">
        <v>869</v>
      </c>
      <c r="Q665" s="5" t="s">
        <v>0</v>
      </c>
      <c r="R665" s="7" t="s">
        <v>52</v>
      </c>
    </row>
    <row r="666" spans="1:18" ht="409.6">
      <c r="A666" s="196" t="str">
        <f>HYPERLINK("http://sipi.sic.gov.co/sipi/View.ashx?4531857","SD2022/0139172")</f>
        <v>SD2022/0139172</v>
      </c>
      <c r="B666" s="8" t="s">
        <v>1619</v>
      </c>
      <c r="C666" s="57" t="s">
        <v>7</v>
      </c>
      <c r="D666" s="104" t="s">
        <v>17</v>
      </c>
      <c r="E666" s="95" t="s">
        <v>1620</v>
      </c>
      <c r="F666" s="68" t="s">
        <v>1818</v>
      </c>
      <c r="G666" s="66" t="s">
        <v>1848</v>
      </c>
      <c r="H666" s="66" t="s">
        <v>9</v>
      </c>
      <c r="I666" s="136"/>
      <c r="J666" s="68"/>
      <c r="K666" s="66" t="s">
        <v>6</v>
      </c>
      <c r="L666" s="66"/>
      <c r="M666" s="143" t="s">
        <v>1848</v>
      </c>
      <c r="N666" s="144" t="s">
        <v>6</v>
      </c>
      <c r="O666" s="6" t="s">
        <v>19</v>
      </c>
      <c r="P666" s="5" t="s">
        <v>1530</v>
      </c>
      <c r="Q666" s="5" t="s">
        <v>23</v>
      </c>
      <c r="R666" s="7" t="s">
        <v>1600</v>
      </c>
    </row>
    <row r="667" spans="1:18" ht="46.8">
      <c r="A667" s="196" t="str">
        <f>HYPERLINK("http://sipi.sic.gov.co/sipi/View.ashx?4535463","SD2022/0140186")</f>
        <v>SD2022/0140186</v>
      </c>
      <c r="B667" s="8" t="s">
        <v>1621</v>
      </c>
      <c r="C667" s="57" t="s">
        <v>7</v>
      </c>
      <c r="D667" s="104" t="s">
        <v>17</v>
      </c>
      <c r="E667" s="67" t="s">
        <v>1622</v>
      </c>
      <c r="F667" s="68" t="s">
        <v>1833</v>
      </c>
      <c r="G667" s="66" t="s">
        <v>1848</v>
      </c>
      <c r="H667" s="66" t="s">
        <v>9</v>
      </c>
      <c r="I667" s="122"/>
      <c r="J667" s="68"/>
      <c r="K667" s="66" t="s">
        <v>6</v>
      </c>
      <c r="L667" s="66"/>
      <c r="M667" s="143" t="s">
        <v>1848</v>
      </c>
      <c r="N667" s="144" t="s">
        <v>6</v>
      </c>
      <c r="O667" s="6" t="s">
        <v>19</v>
      </c>
      <c r="P667" s="5" t="s">
        <v>1623</v>
      </c>
      <c r="Q667" s="5" t="s">
        <v>0</v>
      </c>
      <c r="R667" s="7" t="s">
        <v>1624</v>
      </c>
    </row>
    <row r="668" spans="1:18" ht="115.2">
      <c r="A668" s="196" t="str">
        <f>HYPERLINK("http://sipi.sic.gov.co/sipi/View.ashx?4539136","SD2022/0141196")</f>
        <v>SD2022/0141196</v>
      </c>
      <c r="B668" s="8" t="s">
        <v>1625</v>
      </c>
      <c r="C668" s="57" t="s">
        <v>13</v>
      </c>
      <c r="D668" s="104" t="s">
        <v>8</v>
      </c>
      <c r="E668" s="67"/>
      <c r="F668" s="68"/>
      <c r="G668" s="66" t="s">
        <v>6</v>
      </c>
      <c r="H668" s="66"/>
      <c r="I668" s="122"/>
      <c r="J668" s="68"/>
      <c r="K668" s="66" t="s">
        <v>6</v>
      </c>
      <c r="L668" s="66"/>
      <c r="M668" s="143" t="s">
        <v>1848</v>
      </c>
      <c r="N668" s="144" t="s">
        <v>6</v>
      </c>
      <c r="O668" s="6" t="s">
        <v>19</v>
      </c>
      <c r="P668" s="5" t="s">
        <v>1626</v>
      </c>
      <c r="Q668" s="5" t="s">
        <v>23</v>
      </c>
      <c r="R668" s="7" t="s">
        <v>292</v>
      </c>
    </row>
    <row r="669" spans="1:18" ht="62.4">
      <c r="A669" s="196" t="str">
        <f>HYPERLINK("http://sipi.sic.gov.co/sipi/View.ashx?4540027","SD2022/0141426")</f>
        <v>SD2022/0141426</v>
      </c>
      <c r="B669" s="8" t="s">
        <v>1627</v>
      </c>
      <c r="C669" s="57" t="s">
        <v>13</v>
      </c>
      <c r="D669" s="104" t="s">
        <v>8</v>
      </c>
      <c r="E669" s="67"/>
      <c r="F669" s="68"/>
      <c r="G669" s="66" t="s">
        <v>6</v>
      </c>
      <c r="H669" s="66"/>
      <c r="I669" s="122"/>
      <c r="J669" s="68"/>
      <c r="K669" s="66" t="s">
        <v>6</v>
      </c>
      <c r="L669" s="66"/>
      <c r="M669" s="143" t="s">
        <v>1848</v>
      </c>
      <c r="N669" s="144" t="s">
        <v>6</v>
      </c>
      <c r="O669" s="6" t="s">
        <v>19</v>
      </c>
      <c r="P669" s="5" t="s">
        <v>1628</v>
      </c>
      <c r="Q669" s="5" t="s">
        <v>278</v>
      </c>
      <c r="R669" s="7" t="s">
        <v>1629</v>
      </c>
    </row>
    <row r="670" spans="1:18" ht="158.4">
      <c r="A670" s="196" t="str">
        <f>HYPERLINK("http://sipi.sic.gov.co/sipi/View.ashx?4540659","SD2022/0141634")</f>
        <v>SD2022/0141634</v>
      </c>
      <c r="B670" s="8" t="s">
        <v>1630</v>
      </c>
      <c r="C670" s="57" t="s">
        <v>13</v>
      </c>
      <c r="D670" s="104" t="s">
        <v>8</v>
      </c>
      <c r="E670" s="67"/>
      <c r="F670" s="68"/>
      <c r="G670" s="66" t="s">
        <v>6</v>
      </c>
      <c r="H670" s="66"/>
      <c r="I670" s="122"/>
      <c r="J670" s="68"/>
      <c r="K670" s="66" t="s">
        <v>6</v>
      </c>
      <c r="L670" s="66"/>
      <c r="M670" s="143" t="s">
        <v>1848</v>
      </c>
      <c r="N670" s="144" t="s">
        <v>6</v>
      </c>
      <c r="O670" s="6" t="s">
        <v>19</v>
      </c>
      <c r="P670" s="5" t="s">
        <v>1631</v>
      </c>
      <c r="Q670" s="5" t="s">
        <v>1632</v>
      </c>
      <c r="R670" s="7" t="s">
        <v>1633</v>
      </c>
    </row>
    <row r="671" spans="1:18" ht="72">
      <c r="A671" s="196" t="str">
        <f>HYPERLINK("http://sipi.sic.gov.co/sipi/View.ashx?4544197","SD2022/0142776")</f>
        <v>SD2022/0142776</v>
      </c>
      <c r="B671" s="8" t="s">
        <v>1634</v>
      </c>
      <c r="C671" s="57" t="s">
        <v>7</v>
      </c>
      <c r="D671" s="104" t="s">
        <v>8</v>
      </c>
      <c r="E671" s="67"/>
      <c r="F671" s="68"/>
      <c r="G671" s="66" t="s">
        <v>6</v>
      </c>
      <c r="H671" s="66"/>
      <c r="I671" s="122"/>
      <c r="J671" s="68"/>
      <c r="K671" s="66" t="s">
        <v>6</v>
      </c>
      <c r="L671" s="66"/>
      <c r="M671" s="143" t="s">
        <v>1849</v>
      </c>
      <c r="N671" s="144" t="s">
        <v>6</v>
      </c>
      <c r="O671" s="6" t="s">
        <v>19</v>
      </c>
      <c r="P671" s="5" t="s">
        <v>1635</v>
      </c>
      <c r="Q671" s="5" t="s">
        <v>0</v>
      </c>
      <c r="R671" s="7" t="s">
        <v>11</v>
      </c>
    </row>
    <row r="672" spans="1:18" ht="72">
      <c r="A672" s="196" t="str">
        <f>HYPERLINK("http://sipi.sic.gov.co/sipi/View.ashx?4544358","SD2022/0142833")</f>
        <v>SD2022/0142833</v>
      </c>
      <c r="B672" s="8" t="s">
        <v>1636</v>
      </c>
      <c r="C672" s="57" t="s">
        <v>7</v>
      </c>
      <c r="D672" s="104" t="s">
        <v>8</v>
      </c>
      <c r="E672" s="67"/>
      <c r="F672" s="68"/>
      <c r="G672" s="66" t="s">
        <v>6</v>
      </c>
      <c r="H672" s="66"/>
      <c r="I672" s="122"/>
      <c r="J672" s="68"/>
      <c r="K672" s="66" t="s">
        <v>6</v>
      </c>
      <c r="L672" s="66"/>
      <c r="M672" s="143" t="s">
        <v>1848</v>
      </c>
      <c r="N672" s="144" t="s">
        <v>6</v>
      </c>
      <c r="O672" s="6" t="s">
        <v>19</v>
      </c>
      <c r="P672" s="5" t="s">
        <v>1635</v>
      </c>
      <c r="Q672" s="5" t="s">
        <v>0</v>
      </c>
      <c r="R672" s="7" t="s">
        <v>11</v>
      </c>
    </row>
    <row r="673" spans="1:18" ht="72">
      <c r="A673" s="196" t="str">
        <f>HYPERLINK("http://sipi.sic.gov.co/sipi/View.ashx?4544485","SD2022/0142883")</f>
        <v>SD2022/0142883</v>
      </c>
      <c r="B673" s="8" t="s">
        <v>1637</v>
      </c>
      <c r="C673" s="57" t="s">
        <v>7</v>
      </c>
      <c r="D673" s="104" t="s">
        <v>8</v>
      </c>
      <c r="E673" s="67"/>
      <c r="F673" s="68"/>
      <c r="G673" s="66" t="s">
        <v>6</v>
      </c>
      <c r="H673" s="66"/>
      <c r="I673" s="122"/>
      <c r="J673" s="68"/>
      <c r="K673" s="66" t="s">
        <v>6</v>
      </c>
      <c r="L673" s="66"/>
      <c r="M673" s="143" t="s">
        <v>1848</v>
      </c>
      <c r="N673" s="144" t="s">
        <v>6</v>
      </c>
      <c r="O673" s="6" t="s">
        <v>19</v>
      </c>
      <c r="P673" s="5" t="s">
        <v>1635</v>
      </c>
      <c r="Q673" s="5" t="s">
        <v>0</v>
      </c>
      <c r="R673" s="7" t="s">
        <v>11</v>
      </c>
    </row>
    <row r="674" spans="1:18" ht="100.8">
      <c r="A674" s="196" t="str">
        <f>HYPERLINK("http://sipi.sic.gov.co/sipi/View.ashx?4545730","SD2022/0143360")</f>
        <v>SD2022/0143360</v>
      </c>
      <c r="B674" s="8" t="s">
        <v>1638</v>
      </c>
      <c r="C674" s="57" t="s">
        <v>13</v>
      </c>
      <c r="D674" s="104" t="s">
        <v>17</v>
      </c>
      <c r="E674" s="67" t="s">
        <v>1639</v>
      </c>
      <c r="F674" s="68" t="s">
        <v>1819</v>
      </c>
      <c r="G674" s="66" t="s">
        <v>1848</v>
      </c>
      <c r="H674" s="66" t="s">
        <v>19</v>
      </c>
      <c r="I674" s="122"/>
      <c r="J674" s="68"/>
      <c r="K674" s="66" t="s">
        <v>6</v>
      </c>
      <c r="L674" s="66"/>
      <c r="M674" s="143" t="s">
        <v>1848</v>
      </c>
      <c r="N674" s="144" t="s">
        <v>6</v>
      </c>
      <c r="O674" s="6" t="s">
        <v>19</v>
      </c>
      <c r="P674" s="5" t="s">
        <v>1640</v>
      </c>
      <c r="Q674" s="5" t="s">
        <v>0</v>
      </c>
      <c r="R674" s="7" t="s">
        <v>1641</v>
      </c>
    </row>
    <row r="675" spans="1:18" ht="62.4">
      <c r="A675" s="196" t="str">
        <f>HYPERLINK("http://sipi.sic.gov.co/sipi/View.ashx?4545816","SD2022/0143415")</f>
        <v>SD2022/0143415</v>
      </c>
      <c r="B675" s="8" t="s">
        <v>1642</v>
      </c>
      <c r="C675" s="57" t="s">
        <v>13</v>
      </c>
      <c r="D675" s="104" t="s">
        <v>8</v>
      </c>
      <c r="E675" s="67"/>
      <c r="F675" s="68"/>
      <c r="G675" s="66" t="s">
        <v>6</v>
      </c>
      <c r="H675" s="66"/>
      <c r="I675" s="122"/>
      <c r="J675" s="68"/>
      <c r="K675" s="66" t="s">
        <v>6</v>
      </c>
      <c r="L675" s="66"/>
      <c r="M675" s="143" t="s">
        <v>1848</v>
      </c>
      <c r="N675" s="144" t="s">
        <v>6</v>
      </c>
      <c r="O675" s="6" t="s">
        <v>19</v>
      </c>
      <c r="P675" s="5" t="s">
        <v>1643</v>
      </c>
      <c r="Q675" s="5" t="s">
        <v>0</v>
      </c>
      <c r="R675" s="7" t="s">
        <v>1644</v>
      </c>
    </row>
    <row r="676" spans="1:18" ht="86.4">
      <c r="A676" s="196" t="str">
        <f>HYPERLINK("http://sipi.sic.gov.co/sipi/View.ashx?4546344","SD2022/0143549")</f>
        <v>SD2022/0143549</v>
      </c>
      <c r="B676" s="8" t="s">
        <v>1645</v>
      </c>
      <c r="C676" s="57" t="s">
        <v>13</v>
      </c>
      <c r="D676" s="104" t="s">
        <v>8</v>
      </c>
      <c r="E676" s="67"/>
      <c r="F676" s="68"/>
      <c r="G676" s="66" t="s">
        <v>6</v>
      </c>
      <c r="H676" s="66"/>
      <c r="I676" s="122"/>
      <c r="J676" s="68"/>
      <c r="K676" s="66" t="s">
        <v>6</v>
      </c>
      <c r="L676" s="66"/>
      <c r="M676" s="143" t="s">
        <v>1848</v>
      </c>
      <c r="N676" s="144" t="s">
        <v>6</v>
      </c>
      <c r="O676" s="6" t="s">
        <v>9</v>
      </c>
      <c r="P676" s="5" t="s">
        <v>1646</v>
      </c>
      <c r="Q676" s="5" t="s">
        <v>0</v>
      </c>
      <c r="R676" s="7" t="s">
        <v>1647</v>
      </c>
    </row>
    <row r="677" spans="1:18" ht="100.8">
      <c r="A677" s="196" t="str">
        <f>HYPERLINK("http://sipi.sic.gov.co/sipi/View.ashx?4546450","SD2022/0143580")</f>
        <v>SD2022/0143580</v>
      </c>
      <c r="B677" s="8" t="s">
        <v>1648</v>
      </c>
      <c r="C677" s="57" t="s">
        <v>13</v>
      </c>
      <c r="D677" s="104" t="s">
        <v>8</v>
      </c>
      <c r="E677" s="67"/>
      <c r="F677" s="68"/>
      <c r="G677" s="66" t="s">
        <v>6</v>
      </c>
      <c r="H677" s="66"/>
      <c r="I677" s="122"/>
      <c r="J677" s="68"/>
      <c r="K677" s="66" t="s">
        <v>6</v>
      </c>
      <c r="L677" s="66"/>
      <c r="M677" s="143" t="s">
        <v>1848</v>
      </c>
      <c r="N677" s="144" t="s">
        <v>6</v>
      </c>
      <c r="O677" s="6" t="s">
        <v>19</v>
      </c>
      <c r="P677" s="5" t="s">
        <v>1640</v>
      </c>
      <c r="Q677" s="5" t="s">
        <v>0</v>
      </c>
      <c r="R677" s="7" t="s">
        <v>1641</v>
      </c>
    </row>
    <row r="678" spans="1:18" ht="62.4">
      <c r="A678" s="196" t="str">
        <f>HYPERLINK("http://sipi.sic.gov.co/sipi/View.ashx?4546854","SD2022/0143721")</f>
        <v>SD2022/0143721</v>
      </c>
      <c r="B678" s="8" t="s">
        <v>1649</v>
      </c>
      <c r="C678" s="57" t="s">
        <v>13</v>
      </c>
      <c r="D678" s="104" t="s">
        <v>8</v>
      </c>
      <c r="E678" s="67"/>
      <c r="F678" s="68"/>
      <c r="G678" s="66" t="s">
        <v>6</v>
      </c>
      <c r="H678" s="66"/>
      <c r="I678" s="122"/>
      <c r="J678" s="68"/>
      <c r="K678" s="66" t="s">
        <v>6</v>
      </c>
      <c r="L678" s="66"/>
      <c r="M678" s="143" t="s">
        <v>1848</v>
      </c>
      <c r="N678" s="144" t="s">
        <v>6</v>
      </c>
      <c r="O678" s="6" t="s">
        <v>19</v>
      </c>
      <c r="P678" s="5" t="s">
        <v>1650</v>
      </c>
      <c r="Q678" s="5" t="s">
        <v>84</v>
      </c>
      <c r="R678" s="7" t="s">
        <v>1651</v>
      </c>
    </row>
    <row r="679" spans="1:18" ht="409.6">
      <c r="A679" s="196" t="str">
        <f>HYPERLINK("http://sipi.sic.gov.co/sipi/View.ashx?4556849","SD2023/0002724")</f>
        <v>SD2023/0002724</v>
      </c>
      <c r="B679" s="8" t="s">
        <v>1652</v>
      </c>
      <c r="C679" s="57" t="s">
        <v>7</v>
      </c>
      <c r="D679" s="104" t="s">
        <v>8</v>
      </c>
      <c r="E679" s="67"/>
      <c r="F679" s="68"/>
      <c r="G679" s="66" t="s">
        <v>6</v>
      </c>
      <c r="H679" s="66"/>
      <c r="I679" s="122"/>
      <c r="J679" s="68"/>
      <c r="K679" s="66" t="s">
        <v>6</v>
      </c>
      <c r="L679" s="66"/>
      <c r="M679" s="143" t="s">
        <v>1848</v>
      </c>
      <c r="N679" s="144" t="s">
        <v>6</v>
      </c>
      <c r="O679" s="6" t="s">
        <v>19</v>
      </c>
      <c r="P679" s="5" t="s">
        <v>1653</v>
      </c>
      <c r="Q679" s="5" t="s">
        <v>0</v>
      </c>
      <c r="R679" s="7" t="s">
        <v>1654</v>
      </c>
    </row>
    <row r="680" spans="1:18" ht="46.8">
      <c r="A680" s="196" t="str">
        <f>HYPERLINK("http://sipi.sic.gov.co/sipi/View.ashx?4558993","SD2023/0002113")</f>
        <v>SD2023/0002113</v>
      </c>
      <c r="B680" s="8" t="s">
        <v>1655</v>
      </c>
      <c r="C680" s="57" t="s">
        <v>7</v>
      </c>
      <c r="D680" s="104" t="s">
        <v>8</v>
      </c>
      <c r="E680" s="67"/>
      <c r="F680" s="68"/>
      <c r="G680" s="66" t="s">
        <v>6</v>
      </c>
      <c r="H680" s="66"/>
      <c r="I680" s="122"/>
      <c r="J680" s="68"/>
      <c r="K680" s="66" t="s">
        <v>6</v>
      </c>
      <c r="L680" s="66"/>
      <c r="M680" s="143" t="s">
        <v>1848</v>
      </c>
      <c r="N680" s="144" t="s">
        <v>6</v>
      </c>
      <c r="O680" s="6" t="s">
        <v>19</v>
      </c>
      <c r="P680" s="5" t="s">
        <v>1656</v>
      </c>
      <c r="Q680" s="5" t="s">
        <v>0</v>
      </c>
      <c r="R680" s="7" t="s">
        <v>1657</v>
      </c>
    </row>
    <row r="681" spans="1:18" ht="46.8">
      <c r="A681" s="196" t="str">
        <f>HYPERLINK("http://sipi.sic.gov.co/sipi/View.ashx?4559008","SD2023/0002114")</f>
        <v>SD2023/0002114</v>
      </c>
      <c r="B681" s="8" t="s">
        <v>1658</v>
      </c>
      <c r="C681" s="57" t="s">
        <v>7</v>
      </c>
      <c r="D681" s="104" t="s">
        <v>8</v>
      </c>
      <c r="E681" s="67"/>
      <c r="F681" s="68"/>
      <c r="G681" s="66" t="s">
        <v>6</v>
      </c>
      <c r="H681" s="66"/>
      <c r="I681" s="122"/>
      <c r="J681" s="68"/>
      <c r="K681" s="66" t="s">
        <v>6</v>
      </c>
      <c r="L681" s="66"/>
      <c r="M681" s="143" t="s">
        <v>1848</v>
      </c>
      <c r="N681" s="144" t="s">
        <v>6</v>
      </c>
      <c r="O681" s="6" t="s">
        <v>19</v>
      </c>
      <c r="P681" s="5" t="s">
        <v>1656</v>
      </c>
      <c r="Q681" s="5" t="s">
        <v>0</v>
      </c>
      <c r="R681" s="7" t="s">
        <v>1657</v>
      </c>
    </row>
    <row r="682" spans="1:18" ht="46.8">
      <c r="A682" s="196" t="str">
        <f>HYPERLINK("http://sipi.sic.gov.co/sipi/View.ashx?4559018","SD2023/0002117")</f>
        <v>SD2023/0002117</v>
      </c>
      <c r="B682" s="8" t="s">
        <v>1659</v>
      </c>
      <c r="C682" s="57" t="s">
        <v>7</v>
      </c>
      <c r="D682" s="104" t="s">
        <v>8</v>
      </c>
      <c r="E682" s="67"/>
      <c r="F682" s="68"/>
      <c r="G682" s="66" t="s">
        <v>6</v>
      </c>
      <c r="H682" s="66"/>
      <c r="I682" s="122"/>
      <c r="J682" s="68"/>
      <c r="K682" s="66" t="s">
        <v>6</v>
      </c>
      <c r="L682" s="66"/>
      <c r="M682" s="143" t="s">
        <v>1848</v>
      </c>
      <c r="N682" s="144" t="s">
        <v>6</v>
      </c>
      <c r="O682" s="6" t="s">
        <v>19</v>
      </c>
      <c r="P682" s="5" t="s">
        <v>1656</v>
      </c>
      <c r="Q682" s="5" t="s">
        <v>0</v>
      </c>
      <c r="R682" s="7" t="s">
        <v>1657</v>
      </c>
    </row>
    <row r="683" spans="1:18" ht="46.8">
      <c r="A683" s="196" t="str">
        <f>HYPERLINK("http://sipi.sic.gov.co/sipi/View.ashx?4559033","SD2023/0002118")</f>
        <v>SD2023/0002118</v>
      </c>
      <c r="B683" s="8" t="s">
        <v>1660</v>
      </c>
      <c r="C683" s="57" t="s">
        <v>7</v>
      </c>
      <c r="D683" s="104" t="s">
        <v>8</v>
      </c>
      <c r="E683" s="67"/>
      <c r="F683" s="68"/>
      <c r="G683" s="66" t="s">
        <v>6</v>
      </c>
      <c r="H683" s="66"/>
      <c r="I683" s="122"/>
      <c r="J683" s="68"/>
      <c r="K683" s="66" t="s">
        <v>6</v>
      </c>
      <c r="L683" s="66"/>
      <c r="M683" s="143" t="s">
        <v>1848</v>
      </c>
      <c r="N683" s="144" t="s">
        <v>6</v>
      </c>
      <c r="O683" s="6" t="s">
        <v>9</v>
      </c>
      <c r="P683" s="5" t="s">
        <v>1656</v>
      </c>
      <c r="Q683" s="5" t="s">
        <v>0</v>
      </c>
      <c r="R683" s="7" t="s">
        <v>1657</v>
      </c>
    </row>
    <row r="684" spans="1:18" ht="409.6">
      <c r="A684" s="196" t="str">
        <f>HYPERLINK("http://sipi.sic.gov.co/sipi/View.ashx?4567421","SD2023/0004305")</f>
        <v>SD2023/0004305</v>
      </c>
      <c r="B684" s="8" t="s">
        <v>1661</v>
      </c>
      <c r="C684" s="57" t="s">
        <v>13</v>
      </c>
      <c r="D684" s="104" t="s">
        <v>8</v>
      </c>
      <c r="E684" s="67"/>
      <c r="F684" s="68"/>
      <c r="G684" s="66" t="s">
        <v>6</v>
      </c>
      <c r="H684" s="66"/>
      <c r="I684" s="122"/>
      <c r="J684" s="68"/>
      <c r="K684" s="66" t="s">
        <v>6</v>
      </c>
      <c r="L684" s="66"/>
      <c r="M684" s="143" t="s">
        <v>1848</v>
      </c>
      <c r="N684" s="144" t="s">
        <v>6</v>
      </c>
      <c r="O684" s="6" t="s">
        <v>9</v>
      </c>
      <c r="P684" s="5" t="s">
        <v>1662</v>
      </c>
      <c r="Q684" s="5" t="s">
        <v>0</v>
      </c>
      <c r="R684" s="7" t="s">
        <v>1663</v>
      </c>
    </row>
    <row r="685" spans="1:18" ht="62.4">
      <c r="A685" s="196" t="str">
        <f>HYPERLINK("http://sipi.sic.gov.co/sipi/View.ashx?4574036","SD2023/0006006")</f>
        <v>SD2023/0006006</v>
      </c>
      <c r="B685" s="8" t="s">
        <v>1664</v>
      </c>
      <c r="C685" s="57" t="s">
        <v>7</v>
      </c>
      <c r="D685" s="104" t="s">
        <v>8</v>
      </c>
      <c r="E685" s="67"/>
      <c r="F685" s="68"/>
      <c r="G685" s="66" t="s">
        <v>6</v>
      </c>
      <c r="H685" s="66"/>
      <c r="I685" s="122"/>
      <c r="J685" s="68"/>
      <c r="K685" s="66" t="s">
        <v>6</v>
      </c>
      <c r="L685" s="66"/>
      <c r="M685" s="143" t="s">
        <v>1848</v>
      </c>
      <c r="N685" s="144" t="s">
        <v>6</v>
      </c>
      <c r="O685" s="6" t="s">
        <v>19</v>
      </c>
      <c r="P685" s="5" t="s">
        <v>1665</v>
      </c>
      <c r="Q685" s="5" t="s">
        <v>0</v>
      </c>
      <c r="R685" s="7" t="s">
        <v>1666</v>
      </c>
    </row>
    <row r="686" spans="1:18" ht="409.6">
      <c r="A686" s="196" t="str">
        <f>HYPERLINK("http://sipi.sic.gov.co/sipi/View.ashx?4575150","SD2023/0006356")</f>
        <v>SD2023/0006356</v>
      </c>
      <c r="B686" s="8" t="s">
        <v>1667</v>
      </c>
      <c r="C686" s="57" t="s">
        <v>13</v>
      </c>
      <c r="D686" s="104" t="s">
        <v>8</v>
      </c>
      <c r="E686" s="67"/>
      <c r="F686" s="68"/>
      <c r="G686" s="66" t="s">
        <v>6</v>
      </c>
      <c r="H686" s="66"/>
      <c r="I686" s="122"/>
      <c r="J686" s="68"/>
      <c r="K686" s="66" t="s">
        <v>6</v>
      </c>
      <c r="L686" s="66"/>
      <c r="M686" s="143" t="s">
        <v>1848</v>
      </c>
      <c r="N686" s="144" t="s">
        <v>6</v>
      </c>
      <c r="O686" s="6" t="s">
        <v>19</v>
      </c>
      <c r="P686" s="5" t="s">
        <v>1668</v>
      </c>
      <c r="Q686" s="5" t="s">
        <v>31</v>
      </c>
      <c r="R686" s="7" t="s">
        <v>1669</v>
      </c>
    </row>
    <row r="687" spans="1:18" ht="72">
      <c r="A687" s="215" t="str">
        <f>HYPERLINK("http://sipi.sic.gov.co/sipi/View.ashx?4578310","SD2023/0007288")</f>
        <v>SD2023/0007288</v>
      </c>
      <c r="B687" s="38" t="s">
        <v>1670</v>
      </c>
      <c r="C687" s="65" t="s">
        <v>13</v>
      </c>
      <c r="D687" s="113" t="s">
        <v>17</v>
      </c>
      <c r="E687" s="157" t="s">
        <v>90</v>
      </c>
      <c r="F687" s="161" t="s">
        <v>1705</v>
      </c>
      <c r="G687" s="66" t="s">
        <v>1848</v>
      </c>
      <c r="H687" s="98" t="s">
        <v>9</v>
      </c>
      <c r="I687" s="137"/>
      <c r="J687" s="99"/>
      <c r="K687" s="66" t="s">
        <v>6</v>
      </c>
      <c r="L687" s="98"/>
      <c r="M687" s="153" t="s">
        <v>1848</v>
      </c>
      <c r="N687" s="144" t="s">
        <v>6</v>
      </c>
      <c r="O687" s="40" t="s">
        <v>19</v>
      </c>
      <c r="P687" s="39" t="s">
        <v>1671</v>
      </c>
      <c r="Q687" s="39" t="s">
        <v>0</v>
      </c>
      <c r="R687" s="41" t="s">
        <v>11</v>
      </c>
    </row>
    <row r="688" spans="1:18" ht="62.4">
      <c r="A688" s="196" t="str">
        <f>HYPERLINK("http://sipi.sic.gov.co/sipi/View.ashx?4595668","SD2023/0013891")</f>
        <v>SD2023/0013891</v>
      </c>
      <c r="B688" s="8" t="s">
        <v>1672</v>
      </c>
      <c r="C688" s="57" t="s">
        <v>13</v>
      </c>
      <c r="D688" s="104" t="s">
        <v>8</v>
      </c>
      <c r="E688" s="67"/>
      <c r="F688" s="68"/>
      <c r="G688" s="66" t="s">
        <v>6</v>
      </c>
      <c r="H688" s="66"/>
      <c r="I688" s="122"/>
      <c r="J688" s="68"/>
      <c r="K688" s="66" t="s">
        <v>6</v>
      </c>
      <c r="L688" s="66"/>
      <c r="M688" s="143" t="s">
        <v>1848</v>
      </c>
      <c r="N688" s="144" t="s">
        <v>6</v>
      </c>
      <c r="O688" s="6" t="s">
        <v>19</v>
      </c>
      <c r="P688" s="5" t="s">
        <v>1673</v>
      </c>
      <c r="Q688" s="5" t="s">
        <v>23</v>
      </c>
      <c r="R688" s="7" t="s">
        <v>1674</v>
      </c>
    </row>
    <row r="689" spans="1:18" ht="62.4">
      <c r="A689" s="196" t="str">
        <f>HYPERLINK("http://sipi.sic.gov.co/sipi/View.ashx?4599161","SD2023/0012184")</f>
        <v>SD2023/0012184</v>
      </c>
      <c r="B689" s="8" t="s">
        <v>1675</v>
      </c>
      <c r="C689" s="57" t="s">
        <v>7</v>
      </c>
      <c r="D689" s="104" t="s">
        <v>8</v>
      </c>
      <c r="E689" s="67"/>
      <c r="F689" s="68"/>
      <c r="G689" s="66" t="s">
        <v>6</v>
      </c>
      <c r="H689" s="66"/>
      <c r="I689" s="122"/>
      <c r="J689" s="68"/>
      <c r="K689" s="66" t="s">
        <v>6</v>
      </c>
      <c r="L689" s="66"/>
      <c r="M689" s="143" t="s">
        <v>1848</v>
      </c>
      <c r="N689" s="144" t="s">
        <v>6</v>
      </c>
      <c r="O689" s="6" t="s">
        <v>19</v>
      </c>
      <c r="P689" s="5" t="s">
        <v>1676</v>
      </c>
      <c r="Q689" s="5" t="s">
        <v>0</v>
      </c>
      <c r="R689" s="7" t="s">
        <v>384</v>
      </c>
    </row>
    <row r="690" spans="1:18" ht="46.8">
      <c r="A690" s="196" t="str">
        <f>HYPERLINK("http://sipi.sic.gov.co/sipi/View.ashx?4607587","SD2023/0014255")</f>
        <v>SD2023/0014255</v>
      </c>
      <c r="B690" s="8" t="s">
        <v>1677</v>
      </c>
      <c r="C690" s="57" t="s">
        <v>7</v>
      </c>
      <c r="D690" s="104" t="s">
        <v>8</v>
      </c>
      <c r="E690" s="67"/>
      <c r="F690" s="68"/>
      <c r="G690" s="66" t="s">
        <v>6</v>
      </c>
      <c r="H690" s="66"/>
      <c r="I690" s="122"/>
      <c r="J690" s="68"/>
      <c r="K690" s="66" t="s">
        <v>6</v>
      </c>
      <c r="L690" s="66"/>
      <c r="M690" s="143" t="s">
        <v>1868</v>
      </c>
      <c r="N690" s="144" t="s">
        <v>6</v>
      </c>
      <c r="O690" s="6" t="s">
        <v>19</v>
      </c>
      <c r="P690" s="5" t="s">
        <v>1678</v>
      </c>
      <c r="Q690" s="5" t="s">
        <v>0</v>
      </c>
      <c r="R690" s="7" t="s">
        <v>505</v>
      </c>
    </row>
    <row r="691" spans="1:18" ht="124.8">
      <c r="A691" s="196" t="str">
        <f>HYPERLINK("http://sipi.sic.gov.co/sipi/View.ashx?4608283","SD2023/0014449")</f>
        <v>SD2023/0014449</v>
      </c>
      <c r="B691" s="8" t="s">
        <v>1679</v>
      </c>
      <c r="C691" s="57" t="s">
        <v>7</v>
      </c>
      <c r="D691" s="104" t="s">
        <v>8</v>
      </c>
      <c r="E691" s="67"/>
      <c r="F691" s="68"/>
      <c r="G691" s="66" t="s">
        <v>6</v>
      </c>
      <c r="H691" s="66"/>
      <c r="I691" s="122"/>
      <c r="J691" s="68"/>
      <c r="K691" s="66" t="s">
        <v>6</v>
      </c>
      <c r="L691" s="66"/>
      <c r="M691" s="143" t="s">
        <v>1848</v>
      </c>
      <c r="N691" s="144" t="s">
        <v>6</v>
      </c>
      <c r="O691" s="6" t="s">
        <v>19</v>
      </c>
      <c r="P691" s="5" t="s">
        <v>1680</v>
      </c>
      <c r="Q691" s="5" t="s">
        <v>0</v>
      </c>
      <c r="R691" s="7" t="s">
        <v>614</v>
      </c>
    </row>
    <row r="692" spans="1:18" ht="72">
      <c r="A692" s="196" t="str">
        <f>HYPERLINK("http://sipi.sic.gov.co/sipi/View.ashx?4615850","SD2023/0016829")</f>
        <v>SD2023/0016829</v>
      </c>
      <c r="B692" s="8" t="s">
        <v>1681</v>
      </c>
      <c r="C692" s="57" t="s">
        <v>7</v>
      </c>
      <c r="D692" s="104" t="s">
        <v>8</v>
      </c>
      <c r="E692" s="67"/>
      <c r="F692" s="68"/>
      <c r="G692" s="66" t="s">
        <v>6</v>
      </c>
      <c r="H692" s="66"/>
      <c r="I692" s="122"/>
      <c r="J692" s="68"/>
      <c r="K692" s="66" t="s">
        <v>6</v>
      </c>
      <c r="L692" s="66"/>
      <c r="M692" s="143" t="s">
        <v>1848</v>
      </c>
      <c r="N692" s="144" t="s">
        <v>6</v>
      </c>
      <c r="O692" s="6" t="s">
        <v>19</v>
      </c>
      <c r="P692" s="5" t="s">
        <v>795</v>
      </c>
      <c r="Q692" s="5" t="s">
        <v>0</v>
      </c>
      <c r="R692" s="7" t="s">
        <v>11</v>
      </c>
    </row>
    <row r="693" spans="1:18" ht="72">
      <c r="A693" s="196" t="str">
        <f>HYPERLINK("http://sipi.sic.gov.co/sipi/View.ashx?4615854","SD2023/0016831")</f>
        <v>SD2023/0016831</v>
      </c>
      <c r="B693" s="8" t="s">
        <v>1682</v>
      </c>
      <c r="C693" s="57" t="s">
        <v>7</v>
      </c>
      <c r="D693" s="104" t="s">
        <v>8</v>
      </c>
      <c r="E693" s="67"/>
      <c r="F693" s="68"/>
      <c r="G693" s="66" t="s">
        <v>6</v>
      </c>
      <c r="H693" s="66"/>
      <c r="I693" s="122"/>
      <c r="J693" s="68"/>
      <c r="K693" s="66" t="s">
        <v>6</v>
      </c>
      <c r="L693" s="66"/>
      <c r="M693" s="143" t="s">
        <v>1848</v>
      </c>
      <c r="N693" s="144" t="s">
        <v>6</v>
      </c>
      <c r="O693" s="6" t="s">
        <v>19</v>
      </c>
      <c r="P693" s="5" t="s">
        <v>795</v>
      </c>
      <c r="Q693" s="5" t="s">
        <v>0</v>
      </c>
      <c r="R693" s="7" t="s">
        <v>11</v>
      </c>
    </row>
    <row r="694" spans="1:18" ht="72">
      <c r="A694" s="196" t="str">
        <f>HYPERLINK("http://sipi.sic.gov.co/sipi/View.ashx?4615861","SD2023/0016833")</f>
        <v>SD2023/0016833</v>
      </c>
      <c r="B694" s="8" t="s">
        <v>1683</v>
      </c>
      <c r="C694" s="57" t="s">
        <v>7</v>
      </c>
      <c r="D694" s="104" t="s">
        <v>8</v>
      </c>
      <c r="E694" s="67"/>
      <c r="F694" s="68"/>
      <c r="G694" s="66" t="s">
        <v>6</v>
      </c>
      <c r="H694" s="66"/>
      <c r="I694" s="122"/>
      <c r="J694" s="68"/>
      <c r="K694" s="66" t="s">
        <v>6</v>
      </c>
      <c r="L694" s="66"/>
      <c r="M694" s="143" t="s">
        <v>1848</v>
      </c>
      <c r="N694" s="144" t="s">
        <v>6</v>
      </c>
      <c r="O694" s="6" t="s">
        <v>19</v>
      </c>
      <c r="P694" s="5" t="s">
        <v>795</v>
      </c>
      <c r="Q694" s="5" t="s">
        <v>0</v>
      </c>
      <c r="R694" s="7" t="s">
        <v>11</v>
      </c>
    </row>
    <row r="695" spans="1:18" ht="72">
      <c r="A695" s="196" t="str">
        <f>HYPERLINK("http://sipi.sic.gov.co/sipi/View.ashx?4615864","SD2023/0016837")</f>
        <v>SD2023/0016837</v>
      </c>
      <c r="B695" s="8" t="s">
        <v>1684</v>
      </c>
      <c r="C695" s="57" t="s">
        <v>7</v>
      </c>
      <c r="D695" s="104" t="s">
        <v>8</v>
      </c>
      <c r="E695" s="67"/>
      <c r="F695" s="68"/>
      <c r="G695" s="66" t="s">
        <v>6</v>
      </c>
      <c r="H695" s="66"/>
      <c r="I695" s="122"/>
      <c r="J695" s="68"/>
      <c r="K695" s="66" t="s">
        <v>6</v>
      </c>
      <c r="L695" s="66"/>
      <c r="M695" s="143" t="s">
        <v>1848</v>
      </c>
      <c r="N695" s="144" t="s">
        <v>6</v>
      </c>
      <c r="O695" s="6" t="s">
        <v>19</v>
      </c>
      <c r="P695" s="5" t="s">
        <v>795</v>
      </c>
      <c r="Q695" s="5" t="s">
        <v>0</v>
      </c>
      <c r="R695" s="7" t="s">
        <v>11</v>
      </c>
    </row>
    <row r="696" spans="1:18" ht="158.4">
      <c r="A696" s="196" t="str">
        <f>HYPERLINK("http://sipi.sic.gov.co/sipi/View.ashx?4651532","SD2023/0039419")</f>
        <v>SD2023/0039419</v>
      </c>
      <c r="B696" s="8" t="s">
        <v>1685</v>
      </c>
      <c r="C696" s="57" t="s">
        <v>13</v>
      </c>
      <c r="D696" s="104" t="s">
        <v>17</v>
      </c>
      <c r="E696" s="67" t="s">
        <v>1686</v>
      </c>
      <c r="F696" s="68" t="s">
        <v>1820</v>
      </c>
      <c r="G696" s="70" t="s">
        <v>1849</v>
      </c>
      <c r="H696" s="66" t="s">
        <v>19</v>
      </c>
      <c r="I696" s="122"/>
      <c r="J696" s="68"/>
      <c r="K696" s="66" t="s">
        <v>6</v>
      </c>
      <c r="L696" s="66"/>
      <c r="M696" s="143" t="s">
        <v>1848</v>
      </c>
      <c r="N696" s="144" t="s">
        <v>6</v>
      </c>
      <c r="O696" s="6" t="s">
        <v>19</v>
      </c>
      <c r="P696" s="5" t="s">
        <v>1687</v>
      </c>
      <c r="Q696" s="5" t="s">
        <v>1688</v>
      </c>
      <c r="R696" s="7" t="s">
        <v>1689</v>
      </c>
    </row>
    <row r="697" spans="1:18" ht="93.6">
      <c r="A697" s="196" t="str">
        <f>HYPERLINK("http://sipi.sic.gov.co/sipi/View.ashx?4682779","SD2023/0037097")</f>
        <v>SD2023/0037097</v>
      </c>
      <c r="B697" s="8" t="s">
        <v>1690</v>
      </c>
      <c r="C697" s="57" t="s">
        <v>7</v>
      </c>
      <c r="D697" s="104" t="s">
        <v>8</v>
      </c>
      <c r="E697" s="67"/>
      <c r="F697" s="68"/>
      <c r="G697" s="66" t="s">
        <v>6</v>
      </c>
      <c r="H697" s="66"/>
      <c r="I697" s="122"/>
      <c r="J697" s="68"/>
      <c r="K697" s="66" t="s">
        <v>6</v>
      </c>
      <c r="L697" s="66"/>
      <c r="M697" s="143" t="s">
        <v>1849</v>
      </c>
      <c r="N697" s="144" t="s">
        <v>6</v>
      </c>
      <c r="O697" s="6" t="s">
        <v>19</v>
      </c>
      <c r="P697" s="5" t="s">
        <v>1691</v>
      </c>
      <c r="Q697" s="5" t="s">
        <v>0</v>
      </c>
      <c r="R697" s="7" t="s">
        <v>1692</v>
      </c>
    </row>
    <row r="698" spans="1:18" ht="93.6">
      <c r="A698" s="196" t="str">
        <f>HYPERLINK("http://sipi.sic.gov.co/sipi/View.ashx?4682826","SD2023/0037095")</f>
        <v>SD2023/0037095</v>
      </c>
      <c r="B698" s="8" t="s">
        <v>1693</v>
      </c>
      <c r="C698" s="57" t="s">
        <v>7</v>
      </c>
      <c r="D698" s="104" t="s">
        <v>8</v>
      </c>
      <c r="E698" s="67"/>
      <c r="F698" s="68"/>
      <c r="G698" s="66" t="s">
        <v>6</v>
      </c>
      <c r="H698" s="66"/>
      <c r="I698" s="122"/>
      <c r="J698" s="68"/>
      <c r="K698" s="66" t="s">
        <v>6</v>
      </c>
      <c r="L698" s="66"/>
      <c r="M698" s="143" t="s">
        <v>1848</v>
      </c>
      <c r="N698" s="144" t="s">
        <v>6</v>
      </c>
      <c r="O698" s="6" t="s">
        <v>19</v>
      </c>
      <c r="P698" s="5" t="s">
        <v>1691</v>
      </c>
      <c r="Q698" s="5" t="s">
        <v>0</v>
      </c>
      <c r="R698" s="7" t="s">
        <v>1692</v>
      </c>
    </row>
    <row r="699" spans="1:18" ht="78">
      <c r="A699" s="196" t="str">
        <f>HYPERLINK("http://sipi.sic.gov.co/sipi/View.ashx?4693522","SD2023/0037118")</f>
        <v>SD2023/0037118</v>
      </c>
      <c r="B699" s="8" t="s">
        <v>1694</v>
      </c>
      <c r="C699" s="57" t="s">
        <v>7</v>
      </c>
      <c r="D699" s="104" t="s">
        <v>8</v>
      </c>
      <c r="E699" s="67"/>
      <c r="F699" s="68"/>
      <c r="G699" s="66" t="s">
        <v>6</v>
      </c>
      <c r="H699" s="66"/>
      <c r="I699" s="122"/>
      <c r="J699" s="68"/>
      <c r="K699" s="66" t="s">
        <v>6</v>
      </c>
      <c r="L699" s="66"/>
      <c r="M699" s="143" t="s">
        <v>1848</v>
      </c>
      <c r="N699" s="144" t="s">
        <v>6</v>
      </c>
      <c r="O699" s="6" t="s">
        <v>9</v>
      </c>
      <c r="P699" s="5" t="s">
        <v>1695</v>
      </c>
      <c r="Q699" s="5" t="s">
        <v>0</v>
      </c>
      <c r="R699" s="7" t="s">
        <v>1696</v>
      </c>
    </row>
    <row r="700" spans="1:18" ht="31.8" thickBot="1">
      <c r="A700" s="196" t="str">
        <f>HYPERLINK("http://sipi.sic.gov.co/sipi/View.ashx?4751319","SD2023/0053425")</f>
        <v>SD2023/0053425</v>
      </c>
      <c r="B700" s="8" t="s">
        <v>1697</v>
      </c>
      <c r="C700" s="57" t="s">
        <v>13</v>
      </c>
      <c r="D700" s="114" t="s">
        <v>17</v>
      </c>
      <c r="E700" s="115" t="s">
        <v>1698</v>
      </c>
      <c r="F700" s="116" t="s">
        <v>1808</v>
      </c>
      <c r="G700" s="117" t="s">
        <v>1848</v>
      </c>
      <c r="H700" s="117" t="s">
        <v>9</v>
      </c>
      <c r="I700" s="138"/>
      <c r="J700" s="116"/>
      <c r="K700" s="117" t="s">
        <v>6</v>
      </c>
      <c r="L700" s="117"/>
      <c r="M700" s="143" t="s">
        <v>1848</v>
      </c>
      <c r="N700" s="144" t="s">
        <v>6</v>
      </c>
      <c r="O700" s="6" t="s">
        <v>19</v>
      </c>
      <c r="P700" s="5" t="s">
        <v>1699</v>
      </c>
      <c r="Q700" s="5" t="s">
        <v>0</v>
      </c>
      <c r="R700" s="7" t="s">
        <v>1700</v>
      </c>
    </row>
    <row r="701" spans="1:18" ht="15.6">
      <c r="A701" s="50"/>
      <c r="B701" s="51"/>
      <c r="C701" s="43"/>
      <c r="D701" s="52"/>
      <c r="E701" s="53"/>
      <c r="F701" s="42"/>
      <c r="G701" s="52"/>
      <c r="H701" s="52"/>
      <c r="I701" s="53"/>
      <c r="J701" s="42"/>
      <c r="K701" s="52"/>
      <c r="L701" s="52"/>
      <c r="M701" s="54"/>
      <c r="N701" s="54"/>
      <c r="O701" s="54"/>
      <c r="P701" s="52"/>
      <c r="Q701" s="52"/>
      <c r="R701" s="55"/>
    </row>
    <row r="702" spans="1:18" ht="15.75" customHeight="1">
      <c r="B702" s="44"/>
      <c r="I702" s="42"/>
      <c r="J702" s="42"/>
      <c r="K702" s="42"/>
      <c r="L702" s="42"/>
    </row>
    <row r="703" spans="1:18" ht="15.75" customHeight="1">
      <c r="B703" s="43"/>
      <c r="G703" s="231"/>
      <c r="I703" s="42"/>
      <c r="J703" s="42"/>
      <c r="K703" s="42"/>
      <c r="L703" s="42"/>
    </row>
    <row r="704" spans="1:18" ht="15.75" customHeight="1">
      <c r="B704" s="43"/>
      <c r="I704" s="42"/>
      <c r="J704" s="42"/>
      <c r="K704" s="42"/>
      <c r="L704" s="42"/>
    </row>
    <row r="705" spans="2:12" ht="15.75" customHeight="1">
      <c r="B705" s="43"/>
      <c r="I705" s="42"/>
      <c r="J705" s="42"/>
      <c r="K705" s="42"/>
      <c r="L705" s="42"/>
    </row>
    <row r="706" spans="2:12" ht="15.75" customHeight="1">
      <c r="B706" s="43"/>
      <c r="C706" s="49"/>
      <c r="G706" s="231"/>
      <c r="I706" s="42"/>
      <c r="J706" s="42"/>
      <c r="K706" s="42"/>
      <c r="L706" s="42"/>
    </row>
    <row r="707" spans="2:12" ht="15.75" customHeight="1">
      <c r="I707" s="42"/>
      <c r="J707" s="42"/>
      <c r="K707" s="42"/>
      <c r="L707" s="42"/>
    </row>
    <row r="708" spans="2:12" ht="15.75" customHeight="1">
      <c r="B708" s="46"/>
      <c r="I708" s="42"/>
      <c r="J708" s="42"/>
      <c r="K708" s="42"/>
      <c r="L708" s="42"/>
    </row>
    <row r="709" spans="2:12" ht="15.75" customHeight="1">
      <c r="B709" s="45"/>
      <c r="I709" s="42"/>
      <c r="J709" s="42"/>
      <c r="K709" s="42"/>
      <c r="L709" s="42"/>
    </row>
    <row r="710" spans="2:12" ht="15.75" customHeight="1">
      <c r="B710" s="45"/>
      <c r="I710" s="42"/>
      <c r="J710" s="42"/>
      <c r="K710" s="42"/>
      <c r="L710" s="42"/>
    </row>
    <row r="711" spans="2:12" ht="15.75" customHeight="1">
      <c r="I711" s="42"/>
      <c r="J711" s="42"/>
      <c r="K711" s="42"/>
      <c r="L711" s="42"/>
    </row>
    <row r="712" spans="2:12" ht="15.75" customHeight="1">
      <c r="I712" s="42"/>
      <c r="J712" s="42"/>
      <c r="K712" s="42"/>
      <c r="L712" s="42"/>
    </row>
    <row r="713" spans="2:12" ht="15.75" customHeight="1">
      <c r="I713" s="42"/>
      <c r="J713" s="42"/>
      <c r="K713" s="42"/>
      <c r="L713" s="42"/>
    </row>
    <row r="714" spans="2:12" ht="15.75" customHeight="1">
      <c r="I714" s="42"/>
      <c r="J714" s="42"/>
      <c r="K714" s="42"/>
      <c r="L714" s="42"/>
    </row>
    <row r="715" spans="2:12" ht="15.75" customHeight="1">
      <c r="I715" s="42"/>
      <c r="J715" s="42"/>
      <c r="K715" s="42"/>
      <c r="L715" s="42"/>
    </row>
    <row r="716" spans="2:12" ht="15.75" customHeight="1">
      <c r="I716" s="42"/>
      <c r="J716" s="42"/>
      <c r="K716" s="42"/>
      <c r="L716" s="42"/>
    </row>
    <row r="717" spans="2:12" ht="15.75" customHeight="1">
      <c r="I717" s="42"/>
      <c r="J717" s="42"/>
      <c r="K717" s="42"/>
      <c r="L717" s="42"/>
    </row>
    <row r="718" spans="2:12" ht="15.75" customHeight="1">
      <c r="I718" s="42"/>
      <c r="J718" s="42"/>
      <c r="K718" s="42"/>
      <c r="L718" s="42"/>
    </row>
    <row r="719" spans="2:12" ht="15.75" customHeight="1">
      <c r="I719" s="42"/>
      <c r="J719" s="42"/>
      <c r="K719" s="42"/>
      <c r="L719" s="42"/>
    </row>
    <row r="720" spans="2:12" ht="15.75" customHeight="1">
      <c r="I720" s="42"/>
      <c r="J720" s="42"/>
      <c r="K720" s="42"/>
      <c r="L720" s="42"/>
    </row>
    <row r="721" spans="9:12" ht="15.75" customHeight="1">
      <c r="I721" s="42"/>
      <c r="J721" s="42"/>
      <c r="K721" s="42"/>
      <c r="L721" s="42"/>
    </row>
    <row r="722" spans="9:12" ht="15.75" customHeight="1">
      <c r="I722" s="42"/>
      <c r="J722" s="42"/>
      <c r="K722" s="42"/>
      <c r="L722" s="42"/>
    </row>
    <row r="723" spans="9:12" ht="15.75" customHeight="1">
      <c r="I723" s="42"/>
      <c r="J723" s="42"/>
      <c r="K723" s="42"/>
      <c r="L723" s="42"/>
    </row>
    <row r="724" spans="9:12" ht="15.75" customHeight="1">
      <c r="I724" s="42"/>
      <c r="J724" s="42"/>
      <c r="K724" s="42"/>
      <c r="L724" s="42"/>
    </row>
    <row r="725" spans="9:12" ht="15.75" customHeight="1">
      <c r="I725" s="42"/>
      <c r="J725" s="42"/>
      <c r="K725" s="42"/>
      <c r="L725" s="42"/>
    </row>
    <row r="726" spans="9:12" ht="15.75" customHeight="1">
      <c r="I726" s="42"/>
      <c r="J726" s="42"/>
      <c r="K726" s="42"/>
      <c r="L726" s="42"/>
    </row>
    <row r="727" spans="9:12" ht="15.75" customHeight="1">
      <c r="I727" s="42"/>
      <c r="J727" s="42"/>
      <c r="K727" s="42"/>
      <c r="L727" s="42"/>
    </row>
    <row r="728" spans="9:12" ht="15.75" customHeight="1">
      <c r="I728" s="42"/>
      <c r="J728" s="42"/>
      <c r="K728" s="42"/>
      <c r="L728" s="42"/>
    </row>
    <row r="729" spans="9:12" ht="15.75" customHeight="1">
      <c r="I729" s="42"/>
      <c r="J729" s="42"/>
      <c r="K729" s="42"/>
      <c r="L729" s="42"/>
    </row>
    <row r="730" spans="9:12" ht="15.75" customHeight="1">
      <c r="I730" s="42"/>
      <c r="J730" s="42"/>
      <c r="K730" s="42"/>
      <c r="L730" s="42"/>
    </row>
    <row r="731" spans="9:12" ht="15.75" customHeight="1">
      <c r="I731" s="42"/>
      <c r="J731" s="42"/>
      <c r="K731" s="42"/>
      <c r="L731" s="42"/>
    </row>
    <row r="732" spans="9:12" ht="15.75" customHeight="1">
      <c r="I732" s="42"/>
      <c r="J732" s="42"/>
      <c r="K732" s="42"/>
      <c r="L732" s="42"/>
    </row>
    <row r="733" spans="9:12" ht="15.75" customHeight="1">
      <c r="I733" s="42"/>
      <c r="J733" s="42"/>
      <c r="K733" s="42"/>
      <c r="L733" s="42"/>
    </row>
    <row r="734" spans="9:12" ht="15.75" customHeight="1">
      <c r="I734" s="42"/>
      <c r="J734" s="42"/>
      <c r="K734" s="42"/>
      <c r="L734" s="42"/>
    </row>
    <row r="735" spans="9:12" ht="15.75" customHeight="1">
      <c r="I735" s="42"/>
      <c r="J735" s="42"/>
      <c r="K735" s="42"/>
      <c r="L735" s="42"/>
    </row>
    <row r="736" spans="9:12" ht="15.75" customHeight="1">
      <c r="I736" s="42"/>
      <c r="J736" s="42"/>
      <c r="K736" s="42"/>
      <c r="L736" s="42"/>
    </row>
    <row r="737" spans="9:12" ht="15.75" customHeight="1">
      <c r="I737" s="42"/>
      <c r="J737" s="42"/>
      <c r="K737" s="42"/>
      <c r="L737" s="42"/>
    </row>
    <row r="738" spans="9:12" ht="15.75" customHeight="1">
      <c r="I738" s="42"/>
      <c r="J738" s="42"/>
      <c r="K738" s="42"/>
      <c r="L738" s="42"/>
    </row>
    <row r="739" spans="9:12" ht="15.75" customHeight="1">
      <c r="I739" s="42"/>
      <c r="J739" s="42"/>
      <c r="K739" s="42"/>
      <c r="L739" s="42"/>
    </row>
    <row r="740" spans="9:12" ht="15.75" customHeight="1">
      <c r="I740" s="42"/>
      <c r="J740" s="42"/>
      <c r="K740" s="42"/>
      <c r="L740" s="42"/>
    </row>
    <row r="741" spans="9:12" ht="15.75" customHeight="1">
      <c r="I741" s="42"/>
      <c r="J741" s="42"/>
      <c r="K741" s="42"/>
      <c r="L741" s="42"/>
    </row>
    <row r="742" spans="9:12" ht="15.75" customHeight="1">
      <c r="I742" s="42"/>
      <c r="J742" s="42"/>
      <c r="K742" s="42"/>
      <c r="L742" s="42"/>
    </row>
    <row r="743" spans="9:12" ht="15.75" customHeight="1">
      <c r="I743" s="42"/>
      <c r="J743" s="42"/>
      <c r="K743" s="42"/>
      <c r="L743" s="42"/>
    </row>
    <row r="744" spans="9:12" ht="15.75" customHeight="1">
      <c r="I744" s="42"/>
      <c r="J744" s="42"/>
      <c r="K744" s="42"/>
      <c r="L744" s="42"/>
    </row>
    <row r="745" spans="9:12" ht="15.75" customHeight="1">
      <c r="I745" s="42"/>
      <c r="J745" s="42"/>
      <c r="K745" s="42"/>
      <c r="L745" s="42"/>
    </row>
    <row r="746" spans="9:12" ht="15.75" customHeight="1">
      <c r="I746" s="42"/>
      <c r="J746" s="42"/>
      <c r="K746" s="42"/>
      <c r="L746" s="42"/>
    </row>
    <row r="747" spans="9:12" ht="15.75" customHeight="1">
      <c r="I747" s="42"/>
      <c r="J747" s="42"/>
      <c r="K747" s="42"/>
      <c r="L747" s="42"/>
    </row>
    <row r="748" spans="9:12" ht="15.75" customHeight="1">
      <c r="I748" s="42"/>
      <c r="J748" s="42"/>
      <c r="K748" s="42"/>
      <c r="L748" s="42"/>
    </row>
    <row r="749" spans="9:12" ht="15.75" customHeight="1">
      <c r="I749" s="42"/>
      <c r="J749" s="42"/>
      <c r="K749" s="42"/>
      <c r="L749" s="42"/>
    </row>
    <row r="750" spans="9:12" ht="15.75" customHeight="1">
      <c r="I750" s="42"/>
      <c r="J750" s="42"/>
      <c r="K750" s="42"/>
      <c r="L750" s="42"/>
    </row>
    <row r="751" spans="9:12" ht="15.75" customHeight="1">
      <c r="I751" s="42"/>
      <c r="J751" s="42"/>
      <c r="K751" s="42"/>
      <c r="L751" s="42"/>
    </row>
    <row r="752" spans="9:12" ht="15.75" customHeight="1">
      <c r="I752" s="42"/>
      <c r="J752" s="42"/>
      <c r="K752" s="42"/>
      <c r="L752" s="42"/>
    </row>
    <row r="753" spans="9:12" ht="15.75" customHeight="1">
      <c r="I753" s="42"/>
      <c r="J753" s="42"/>
      <c r="K753" s="42"/>
      <c r="L753" s="42"/>
    </row>
    <row r="754" spans="9:12" ht="15.75" customHeight="1">
      <c r="I754" s="42"/>
      <c r="J754" s="42"/>
      <c r="K754" s="42"/>
      <c r="L754" s="42"/>
    </row>
    <row r="755" spans="9:12" ht="15.75" customHeight="1">
      <c r="I755" s="42"/>
      <c r="J755" s="42"/>
      <c r="K755" s="42"/>
      <c r="L755" s="42"/>
    </row>
    <row r="756" spans="9:12" ht="15.75" customHeight="1">
      <c r="I756" s="42"/>
      <c r="J756" s="42"/>
      <c r="K756" s="42"/>
      <c r="L756" s="42"/>
    </row>
    <row r="757" spans="9:12" ht="15.75" customHeight="1">
      <c r="I757" s="42"/>
      <c r="J757" s="42"/>
      <c r="K757" s="42"/>
      <c r="L757" s="42"/>
    </row>
    <row r="758" spans="9:12" ht="15.75" customHeight="1">
      <c r="I758" s="42"/>
      <c r="J758" s="42"/>
      <c r="K758" s="42"/>
      <c r="L758" s="42"/>
    </row>
    <row r="759" spans="9:12" ht="15.75" customHeight="1">
      <c r="I759" s="42"/>
      <c r="J759" s="42"/>
      <c r="K759" s="42"/>
      <c r="L759" s="42"/>
    </row>
    <row r="760" spans="9:12" ht="15.75" customHeight="1">
      <c r="I760" s="42"/>
      <c r="J760" s="42"/>
      <c r="K760" s="42"/>
      <c r="L760" s="42"/>
    </row>
    <row r="761" spans="9:12" ht="15.75" customHeight="1">
      <c r="I761" s="42"/>
      <c r="J761" s="42"/>
      <c r="K761" s="42"/>
      <c r="L761" s="42"/>
    </row>
    <row r="762" spans="9:12" ht="15.75" customHeight="1">
      <c r="I762" s="42"/>
      <c r="J762" s="42"/>
      <c r="K762" s="42"/>
      <c r="L762" s="42"/>
    </row>
    <row r="763" spans="9:12" ht="15.75" customHeight="1">
      <c r="I763" s="42"/>
      <c r="J763" s="42"/>
      <c r="K763" s="42"/>
      <c r="L763" s="42"/>
    </row>
    <row r="764" spans="9:12" ht="15.75" customHeight="1">
      <c r="I764" s="42"/>
      <c r="J764" s="42"/>
      <c r="K764" s="42"/>
      <c r="L764" s="42"/>
    </row>
    <row r="765" spans="9:12" ht="15.75" customHeight="1">
      <c r="I765" s="42"/>
      <c r="J765" s="42"/>
      <c r="K765" s="42"/>
      <c r="L765" s="42"/>
    </row>
    <row r="766" spans="9:12" ht="15.75" customHeight="1">
      <c r="I766" s="42"/>
      <c r="J766" s="42"/>
      <c r="K766" s="42"/>
      <c r="L766" s="42"/>
    </row>
    <row r="767" spans="9:12" ht="15.75" customHeight="1">
      <c r="I767" s="42"/>
      <c r="J767" s="42"/>
      <c r="K767" s="42"/>
      <c r="L767" s="42"/>
    </row>
    <row r="768" spans="9:12" ht="15.75" customHeight="1">
      <c r="I768" s="42"/>
      <c r="J768" s="42"/>
      <c r="K768" s="42"/>
      <c r="L768" s="42"/>
    </row>
    <row r="769" spans="9:12" ht="15.75" customHeight="1">
      <c r="I769" s="42"/>
      <c r="J769" s="42"/>
      <c r="K769" s="42"/>
      <c r="L769" s="42"/>
    </row>
    <row r="770" spans="9:12" ht="15.75" customHeight="1">
      <c r="I770" s="42"/>
      <c r="J770" s="42"/>
      <c r="K770" s="42"/>
      <c r="L770" s="42"/>
    </row>
    <row r="771" spans="9:12" ht="15.75" customHeight="1">
      <c r="I771" s="42"/>
      <c r="J771" s="42"/>
      <c r="K771" s="42"/>
      <c r="L771" s="42"/>
    </row>
    <row r="772" spans="9:12" ht="15.75" customHeight="1">
      <c r="I772" s="42"/>
      <c r="J772" s="42"/>
      <c r="K772" s="42"/>
      <c r="L772" s="42"/>
    </row>
    <row r="773" spans="9:12" ht="15.75" customHeight="1">
      <c r="I773" s="42"/>
    </row>
    <row r="774" spans="9:12" ht="15.75" customHeight="1">
      <c r="I774" s="42"/>
    </row>
    <row r="775" spans="9:12" ht="15.75" customHeight="1">
      <c r="I775" s="42"/>
    </row>
    <row r="776" spans="9:12" ht="15.75" customHeight="1">
      <c r="I776" s="42"/>
    </row>
    <row r="777" spans="9:12" ht="15.75" customHeight="1">
      <c r="I777" s="42"/>
    </row>
    <row r="778" spans="9:12" ht="15.75" customHeight="1">
      <c r="I778" s="42"/>
    </row>
    <row r="779" spans="9:12" ht="15.75" customHeight="1">
      <c r="I779" s="42"/>
    </row>
    <row r="780" spans="9:12" ht="15.75" customHeight="1">
      <c r="I780" s="42"/>
    </row>
    <row r="781" spans="9:12" ht="15.75" customHeight="1">
      <c r="I781" s="42"/>
    </row>
    <row r="782" spans="9:12" ht="15.75" customHeight="1">
      <c r="I782" s="42"/>
    </row>
    <row r="783" spans="9:12" ht="15.75" customHeight="1">
      <c r="I783" s="42"/>
    </row>
    <row r="784" spans="9:12" ht="15.75" customHeight="1">
      <c r="I784" s="42"/>
    </row>
    <row r="785" spans="9:9" ht="15.75" customHeight="1">
      <c r="I785" s="42"/>
    </row>
    <row r="786" spans="9:9" ht="15.75" customHeight="1">
      <c r="I786" s="42"/>
    </row>
    <row r="787" spans="9:9" ht="15.75" customHeight="1">
      <c r="I787" s="42"/>
    </row>
    <row r="788" spans="9:9" ht="15.75" customHeight="1">
      <c r="I788" s="42"/>
    </row>
    <row r="789" spans="9:9" ht="15.75" customHeight="1">
      <c r="I789" s="42"/>
    </row>
    <row r="790" spans="9:9" ht="15.75" customHeight="1">
      <c r="I790" s="42"/>
    </row>
    <row r="791" spans="9:9" ht="15.75" customHeight="1">
      <c r="I791" s="42"/>
    </row>
    <row r="792" spans="9:9" ht="15.75" customHeight="1">
      <c r="I792" s="42"/>
    </row>
    <row r="793" spans="9:9" ht="15.75" customHeight="1">
      <c r="I793" s="42"/>
    </row>
    <row r="794" spans="9:9" ht="15.75" customHeight="1">
      <c r="I794" s="42"/>
    </row>
    <row r="795" spans="9:9" ht="15.75" customHeight="1">
      <c r="I795" s="42"/>
    </row>
    <row r="796" spans="9:9" ht="15.75" customHeight="1">
      <c r="I796" s="42"/>
    </row>
    <row r="797" spans="9:9" ht="15.75" customHeight="1">
      <c r="I797" s="42"/>
    </row>
    <row r="798" spans="9:9" ht="15.75" customHeight="1">
      <c r="I798" s="42"/>
    </row>
    <row r="799" spans="9:9" ht="15.75" customHeight="1">
      <c r="I799" s="42"/>
    </row>
    <row r="800" spans="9:9" ht="15.75" customHeight="1">
      <c r="I800" s="42"/>
    </row>
    <row r="801" spans="9:9" ht="15.75" customHeight="1">
      <c r="I801" s="42"/>
    </row>
    <row r="802" spans="9:9" ht="15.75" customHeight="1">
      <c r="I802" s="42"/>
    </row>
    <row r="803" spans="9:9" ht="15.75" customHeight="1">
      <c r="I803" s="42"/>
    </row>
    <row r="804" spans="9:9" ht="15.75" customHeight="1">
      <c r="I804" s="42"/>
    </row>
    <row r="805" spans="9:9" ht="15.75" customHeight="1">
      <c r="I805" s="42"/>
    </row>
    <row r="806" spans="9:9" ht="15.75" customHeight="1">
      <c r="I806" s="42"/>
    </row>
    <row r="807" spans="9:9" ht="15.75" customHeight="1">
      <c r="I807" s="42"/>
    </row>
    <row r="808" spans="9:9" ht="15.75" customHeight="1">
      <c r="I808" s="42"/>
    </row>
    <row r="809" spans="9:9" ht="15.75" customHeight="1">
      <c r="I809" s="42"/>
    </row>
    <row r="810" spans="9:9" ht="15.75" customHeight="1">
      <c r="I810" s="42"/>
    </row>
    <row r="811" spans="9:9" ht="15.75" customHeight="1">
      <c r="I811" s="42"/>
    </row>
    <row r="812" spans="9:9" ht="15.75" customHeight="1">
      <c r="I812" s="42"/>
    </row>
    <row r="813" spans="9:9" ht="15.75" customHeight="1">
      <c r="I813" s="42"/>
    </row>
    <row r="814" spans="9:9" ht="15.75" customHeight="1">
      <c r="I814" s="42"/>
    </row>
    <row r="815" spans="9:9" ht="15.75" customHeight="1">
      <c r="I815" s="42"/>
    </row>
    <row r="816" spans="9:9" ht="15.75" customHeight="1">
      <c r="I816" s="42"/>
    </row>
    <row r="817" spans="9:9" ht="15.75" customHeight="1">
      <c r="I817" s="42"/>
    </row>
    <row r="818" spans="9:9" ht="15.75" customHeight="1">
      <c r="I818" s="42"/>
    </row>
    <row r="819" spans="9:9" ht="15.75" customHeight="1">
      <c r="I819" s="42"/>
    </row>
    <row r="820" spans="9:9" ht="15.75" customHeight="1">
      <c r="I820" s="42"/>
    </row>
    <row r="821" spans="9:9" ht="15.75" customHeight="1">
      <c r="I821" s="42"/>
    </row>
    <row r="822" spans="9:9" ht="15.75" customHeight="1">
      <c r="I822" s="42"/>
    </row>
    <row r="823" spans="9:9" ht="15.75" customHeight="1">
      <c r="I823" s="42"/>
    </row>
    <row r="824" spans="9:9" ht="15.75" customHeight="1">
      <c r="I824" s="42"/>
    </row>
    <row r="825" spans="9:9" ht="15.75" customHeight="1">
      <c r="I825" s="42"/>
    </row>
    <row r="826" spans="9:9" ht="15.75" customHeight="1">
      <c r="I826" s="42"/>
    </row>
    <row r="827" spans="9:9" ht="15.75" customHeight="1">
      <c r="I827" s="42"/>
    </row>
    <row r="828" spans="9:9" ht="15.75" customHeight="1">
      <c r="I828" s="42"/>
    </row>
    <row r="829" spans="9:9" ht="15.75" customHeight="1">
      <c r="I829" s="42"/>
    </row>
    <row r="830" spans="9:9" ht="15.75" customHeight="1">
      <c r="I830" s="42"/>
    </row>
    <row r="831" spans="9:9" ht="15.75" customHeight="1">
      <c r="I831" s="42"/>
    </row>
    <row r="832" spans="9:9" ht="15.75" customHeight="1">
      <c r="I832" s="42"/>
    </row>
    <row r="833" spans="9:9" ht="15.75" customHeight="1">
      <c r="I833" s="42"/>
    </row>
    <row r="834" spans="9:9" ht="15.75" customHeight="1">
      <c r="I834" s="42"/>
    </row>
    <row r="835" spans="9:9" ht="15.75" customHeight="1">
      <c r="I835" s="42"/>
    </row>
    <row r="836" spans="9:9" ht="15.75" customHeight="1">
      <c r="I836" s="42"/>
    </row>
    <row r="837" spans="9:9" ht="15.75" customHeight="1">
      <c r="I837" s="42"/>
    </row>
    <row r="838" spans="9:9" ht="15.75" customHeight="1">
      <c r="I838" s="42"/>
    </row>
    <row r="839" spans="9:9" ht="15.75" customHeight="1">
      <c r="I839" s="42"/>
    </row>
    <row r="840" spans="9:9" ht="15.75" customHeight="1">
      <c r="I840" s="42"/>
    </row>
    <row r="841" spans="9:9" ht="15.75" customHeight="1">
      <c r="I841" s="42"/>
    </row>
    <row r="842" spans="9:9" ht="15.75" customHeight="1">
      <c r="I842" s="42"/>
    </row>
    <row r="843" spans="9:9" ht="15.75" customHeight="1">
      <c r="I843" s="42"/>
    </row>
    <row r="844" spans="9:9" ht="15.75" customHeight="1">
      <c r="I844" s="42"/>
    </row>
    <row r="845" spans="9:9" ht="15.75" customHeight="1">
      <c r="I845" s="42"/>
    </row>
    <row r="846" spans="9:9" ht="15.75" customHeight="1">
      <c r="I846" s="42"/>
    </row>
    <row r="847" spans="9:9" ht="15.75" customHeight="1">
      <c r="I847" s="42"/>
    </row>
    <row r="848" spans="9:9" ht="15.75" customHeight="1">
      <c r="I848" s="42"/>
    </row>
    <row r="849" spans="9:9" ht="15.75" customHeight="1">
      <c r="I849" s="42"/>
    </row>
    <row r="850" spans="9:9" ht="15.75" customHeight="1">
      <c r="I850" s="42"/>
    </row>
    <row r="851" spans="9:9" ht="15.75" customHeight="1">
      <c r="I851" s="42"/>
    </row>
    <row r="852" spans="9:9" ht="15.75" customHeight="1">
      <c r="I852" s="42"/>
    </row>
    <row r="853" spans="9:9" ht="15.75" customHeight="1">
      <c r="I853" s="42"/>
    </row>
    <row r="854" spans="9:9" ht="15.75" customHeight="1">
      <c r="I854" s="42"/>
    </row>
    <row r="855" spans="9:9" ht="15.75" customHeight="1">
      <c r="I855" s="42"/>
    </row>
    <row r="856" spans="9:9" ht="15.75" customHeight="1">
      <c r="I856" s="42"/>
    </row>
    <row r="857" spans="9:9" ht="15.75" customHeight="1">
      <c r="I857" s="42"/>
    </row>
    <row r="858" spans="9:9" ht="15.75" customHeight="1">
      <c r="I858" s="42"/>
    </row>
    <row r="859" spans="9:9" ht="15.75" customHeight="1">
      <c r="I859" s="42"/>
    </row>
    <row r="860" spans="9:9" ht="15.75" customHeight="1">
      <c r="I860" s="42"/>
    </row>
    <row r="861" spans="9:9" ht="15.75" customHeight="1">
      <c r="I861" s="42"/>
    </row>
    <row r="862" spans="9:9" ht="15.75" customHeight="1">
      <c r="I862" s="42"/>
    </row>
    <row r="863" spans="9:9" ht="15.75" customHeight="1">
      <c r="I863" s="42"/>
    </row>
    <row r="864" spans="9:9" ht="15.75" customHeight="1">
      <c r="I864" s="42"/>
    </row>
    <row r="865" spans="9:9" ht="15.75" customHeight="1">
      <c r="I865" s="42"/>
    </row>
    <row r="866" spans="9:9" ht="15.75" customHeight="1">
      <c r="I866" s="42"/>
    </row>
    <row r="867" spans="9:9" ht="15.75" customHeight="1">
      <c r="I867" s="42"/>
    </row>
    <row r="868" spans="9:9" ht="15.75" customHeight="1">
      <c r="I868" s="42"/>
    </row>
    <row r="869" spans="9:9" ht="15.75" customHeight="1">
      <c r="I869" s="42"/>
    </row>
    <row r="870" spans="9:9" ht="15.75" customHeight="1">
      <c r="I870" s="42"/>
    </row>
    <row r="871" spans="9:9" ht="15.75" customHeight="1">
      <c r="I871" s="42"/>
    </row>
    <row r="872" spans="9:9" ht="15.75" customHeight="1">
      <c r="I872" s="42"/>
    </row>
    <row r="873" spans="9:9" ht="15.75" customHeight="1">
      <c r="I873" s="42"/>
    </row>
    <row r="874" spans="9:9" ht="15.75" customHeight="1">
      <c r="I874" s="42"/>
    </row>
    <row r="875" spans="9:9" ht="15.75" customHeight="1">
      <c r="I875" s="42"/>
    </row>
    <row r="876" spans="9:9" ht="15.75" customHeight="1">
      <c r="I876" s="42"/>
    </row>
    <row r="877" spans="9:9" ht="15.75" customHeight="1">
      <c r="I877" s="42"/>
    </row>
    <row r="878" spans="9:9" ht="15.75" customHeight="1">
      <c r="I878" s="42"/>
    </row>
    <row r="879" spans="9:9" ht="15.75" customHeight="1">
      <c r="I879" s="42"/>
    </row>
    <row r="880" spans="9:9" ht="15.75" customHeight="1">
      <c r="I880" s="42"/>
    </row>
    <row r="881" spans="9:9" ht="15.75" customHeight="1">
      <c r="I881" s="42"/>
    </row>
    <row r="882" spans="9:9" ht="15.75" customHeight="1">
      <c r="I882" s="42"/>
    </row>
    <row r="883" spans="9:9" ht="15.75" customHeight="1">
      <c r="I883" s="42"/>
    </row>
    <row r="884" spans="9:9" ht="15.75" customHeight="1">
      <c r="I884" s="42"/>
    </row>
    <row r="885" spans="9:9" ht="15.75" customHeight="1">
      <c r="I885" s="42"/>
    </row>
    <row r="886" spans="9:9" ht="15.75" customHeight="1">
      <c r="I886" s="42"/>
    </row>
    <row r="887" spans="9:9" ht="15.75" customHeight="1">
      <c r="I887" s="42"/>
    </row>
    <row r="888" spans="9:9" ht="15.75" customHeight="1">
      <c r="I888" s="42"/>
    </row>
    <row r="889" spans="9:9" ht="15.75" customHeight="1">
      <c r="I889" s="42"/>
    </row>
    <row r="890" spans="9:9" ht="15.75" customHeight="1">
      <c r="I890" s="42"/>
    </row>
    <row r="891" spans="9:9" ht="15.75" customHeight="1">
      <c r="I891" s="42"/>
    </row>
    <row r="892" spans="9:9" ht="15.75" customHeight="1">
      <c r="I892" s="42"/>
    </row>
    <row r="893" spans="9:9" ht="15.75" customHeight="1">
      <c r="I893" s="42"/>
    </row>
    <row r="894" spans="9:9" ht="15.75" customHeight="1">
      <c r="I894" s="42"/>
    </row>
    <row r="895" spans="9:9" ht="15.75" customHeight="1">
      <c r="I895" s="42"/>
    </row>
    <row r="896" spans="9:9" ht="15.75" customHeight="1">
      <c r="I896" s="42"/>
    </row>
    <row r="897" spans="9:9" ht="15.75" customHeight="1">
      <c r="I897" s="42"/>
    </row>
    <row r="898" spans="9:9" ht="15.75" customHeight="1">
      <c r="I898" s="42"/>
    </row>
    <row r="899" spans="9:9" ht="15.75" customHeight="1">
      <c r="I899" s="42"/>
    </row>
    <row r="900" spans="9:9" ht="15.75" customHeight="1">
      <c r="I900" s="42"/>
    </row>
    <row r="901" spans="9:9" ht="15.75" customHeight="1">
      <c r="I901" s="42"/>
    </row>
    <row r="902" spans="9:9" ht="15.75" customHeight="1">
      <c r="I902" s="42"/>
    </row>
    <row r="903" spans="9:9" ht="15.75" customHeight="1">
      <c r="I903" s="42"/>
    </row>
    <row r="904" spans="9:9" ht="15.75" customHeight="1">
      <c r="I904" s="42"/>
    </row>
    <row r="905" spans="9:9" ht="15.75" customHeight="1">
      <c r="I905" s="42"/>
    </row>
    <row r="906" spans="9:9" ht="15.75" customHeight="1">
      <c r="I906" s="42"/>
    </row>
    <row r="907" spans="9:9" ht="15.75" customHeight="1">
      <c r="I907" s="42"/>
    </row>
    <row r="908" spans="9:9" ht="15.75" customHeight="1">
      <c r="I908" s="42"/>
    </row>
    <row r="909" spans="9:9" ht="15.75" customHeight="1">
      <c r="I909" s="42"/>
    </row>
    <row r="910" spans="9:9" ht="15.75" customHeight="1">
      <c r="I910" s="42"/>
    </row>
    <row r="911" spans="9:9" ht="15.75" customHeight="1">
      <c r="I911" s="42"/>
    </row>
    <row r="912" spans="9:9" ht="15.75" customHeight="1">
      <c r="I912" s="42"/>
    </row>
    <row r="913" spans="9:9" ht="15.75" customHeight="1">
      <c r="I913" s="42"/>
    </row>
    <row r="914" spans="9:9" ht="15.75" customHeight="1">
      <c r="I914" s="42"/>
    </row>
    <row r="915" spans="9:9" ht="15.75" customHeight="1">
      <c r="I915" s="42"/>
    </row>
    <row r="916" spans="9:9" ht="15.75" customHeight="1">
      <c r="I916" s="42"/>
    </row>
    <row r="917" spans="9:9" ht="15.75" customHeight="1">
      <c r="I917" s="42"/>
    </row>
    <row r="918" spans="9:9" ht="15.75" customHeight="1">
      <c r="I918" s="42"/>
    </row>
    <row r="919" spans="9:9" ht="15.75" customHeight="1">
      <c r="I919" s="42"/>
    </row>
    <row r="920" spans="9:9" ht="15.75" customHeight="1">
      <c r="I920" s="42"/>
    </row>
    <row r="921" spans="9:9" ht="15.75" customHeight="1">
      <c r="I921" s="42"/>
    </row>
    <row r="922" spans="9:9" ht="15.75" customHeight="1">
      <c r="I922" s="42"/>
    </row>
    <row r="923" spans="9:9" ht="15.75" customHeight="1">
      <c r="I923" s="42"/>
    </row>
    <row r="924" spans="9:9" ht="15.75" customHeight="1">
      <c r="I924" s="42"/>
    </row>
    <row r="925" spans="9:9" ht="15.75" customHeight="1">
      <c r="I925" s="42"/>
    </row>
    <row r="926" spans="9:9" ht="15.75" customHeight="1">
      <c r="I926" s="42"/>
    </row>
    <row r="927" spans="9:9" ht="15.75" customHeight="1">
      <c r="I927" s="42"/>
    </row>
    <row r="928" spans="9:9" ht="15.75" customHeight="1">
      <c r="I928" s="42"/>
    </row>
    <row r="929" spans="9:9" ht="15.75" customHeight="1">
      <c r="I929" s="42"/>
    </row>
    <row r="930" spans="9:9" ht="15.75" customHeight="1">
      <c r="I930" s="42"/>
    </row>
    <row r="931" spans="9:9" ht="15.75" customHeight="1">
      <c r="I931" s="42"/>
    </row>
    <row r="932" spans="9:9" ht="15.75" customHeight="1">
      <c r="I932" s="42"/>
    </row>
    <row r="933" spans="9:9" ht="15.75" customHeight="1">
      <c r="I933" s="42"/>
    </row>
    <row r="934" spans="9:9" ht="15.75" customHeight="1">
      <c r="I934" s="42"/>
    </row>
    <row r="935" spans="9:9" ht="15.75" customHeight="1">
      <c r="I935" s="42"/>
    </row>
    <row r="936" spans="9:9" ht="15.75" customHeight="1">
      <c r="I936" s="42"/>
    </row>
    <row r="937" spans="9:9" ht="15.75" customHeight="1">
      <c r="I937" s="42"/>
    </row>
    <row r="938" spans="9:9" ht="15.75" customHeight="1">
      <c r="I938" s="42"/>
    </row>
    <row r="939" spans="9:9" ht="15.75" customHeight="1">
      <c r="I939" s="42"/>
    </row>
    <row r="940" spans="9:9" ht="15.75" customHeight="1">
      <c r="I940" s="42"/>
    </row>
    <row r="941" spans="9:9" ht="15.75" customHeight="1"/>
    <row r="942" spans="9:9" ht="15.75" customHeight="1"/>
    <row r="943" spans="9:9" ht="15.75" customHeight="1"/>
    <row r="944" spans="9:9" ht="15.75" customHeight="1"/>
    <row r="945" s="47" customFormat="1" ht="15.75" customHeight="1"/>
    <row r="946" s="47" customFormat="1" ht="15.75" customHeight="1"/>
    <row r="947" s="47" customFormat="1" ht="15.75" customHeight="1"/>
    <row r="948" s="47" customFormat="1" ht="15.75" customHeight="1"/>
    <row r="949" s="47" customFormat="1" ht="15.75" customHeight="1"/>
    <row r="950" s="47" customFormat="1" ht="15.75" customHeight="1"/>
    <row r="951" s="47" customFormat="1" ht="15.75" customHeight="1"/>
    <row r="952" s="47" customFormat="1" ht="15.75" customHeight="1"/>
    <row r="953" s="47" customFormat="1" ht="15.75" customHeight="1"/>
    <row r="954" s="47" customFormat="1" ht="15.75" customHeight="1"/>
    <row r="955" s="47" customFormat="1" ht="15.75" customHeight="1"/>
    <row r="956" s="47" customFormat="1" ht="15.75" customHeight="1"/>
    <row r="957" s="47" customFormat="1" ht="15.75" customHeight="1"/>
    <row r="958" s="47" customFormat="1" ht="15.75" customHeight="1"/>
    <row r="959" s="47" customFormat="1" ht="15.75" customHeight="1"/>
    <row r="960" s="47" customFormat="1" ht="15.75" customHeight="1"/>
    <row r="961" s="47" customFormat="1" ht="15.75" customHeight="1"/>
    <row r="962" s="47" customFormat="1" ht="15.75" customHeight="1"/>
    <row r="963" s="47" customFormat="1" ht="15.75" customHeight="1"/>
    <row r="964" s="47" customFormat="1" ht="15.75" customHeight="1"/>
    <row r="965" s="47" customFormat="1" ht="15.75" customHeight="1"/>
    <row r="966" s="47" customFormat="1" ht="15.75" customHeight="1"/>
    <row r="967" s="47" customFormat="1" ht="15.75" customHeight="1"/>
    <row r="968" s="47" customFormat="1" ht="15.75" customHeight="1"/>
    <row r="969" s="47" customFormat="1" ht="15.75" customHeight="1"/>
    <row r="970" s="47" customFormat="1" ht="15.75" customHeight="1"/>
    <row r="971" s="47" customFormat="1" ht="15.75" customHeight="1"/>
    <row r="972" s="47" customFormat="1" ht="15.75" customHeight="1"/>
    <row r="973" s="47" customFormat="1" ht="15.75" customHeight="1"/>
    <row r="974" s="47" customFormat="1" ht="15.75" customHeight="1"/>
    <row r="975" s="47" customFormat="1" ht="15.75" customHeight="1"/>
    <row r="976" s="47" customFormat="1" ht="15.75" customHeight="1"/>
    <row r="977" s="47" customFormat="1" ht="15.75" customHeight="1"/>
    <row r="978" s="47" customFormat="1" ht="15.75" customHeight="1"/>
    <row r="979" s="47" customFormat="1" ht="15.75" customHeight="1"/>
    <row r="980" s="47" customFormat="1" ht="15.75" customHeight="1"/>
    <row r="981" s="47" customFormat="1" ht="15.75" customHeight="1"/>
    <row r="982" s="47" customFormat="1" ht="15.75" customHeight="1"/>
    <row r="983" s="47" customFormat="1" ht="15.75" customHeight="1"/>
    <row r="984" s="47" customFormat="1" ht="15.75" customHeight="1"/>
    <row r="985" s="47" customFormat="1" ht="15.75" customHeight="1"/>
    <row r="986" s="47" customFormat="1" ht="15.75" customHeight="1"/>
    <row r="987" s="47" customFormat="1" ht="15.75" customHeight="1"/>
    <row r="988" s="47" customFormat="1" ht="15.75" customHeight="1"/>
    <row r="989" s="47" customFormat="1" ht="15.75" customHeight="1"/>
    <row r="990" s="47" customFormat="1" ht="15.75" customHeight="1"/>
    <row r="991" s="47" customFormat="1" ht="15.75" customHeight="1"/>
    <row r="992" s="47" customFormat="1" ht="15.75" customHeight="1"/>
    <row r="993" s="47" customFormat="1" ht="15.75" customHeight="1"/>
    <row r="994" s="47" customFormat="1" ht="15.75" customHeight="1"/>
    <row r="995" s="47" customFormat="1" ht="15.75" customHeight="1"/>
    <row r="996" s="47" customFormat="1" ht="15.75" customHeight="1"/>
    <row r="997" s="47" customFormat="1" ht="15.75" customHeight="1"/>
    <row r="998" s="47" customFormat="1" ht="15.75" customHeight="1"/>
    <row r="999" s="47" customFormat="1" ht="15.75" customHeight="1"/>
    <row r="1000" s="47" customFormat="1" ht="15.75" customHeight="1"/>
    <row r="1001" s="47" customFormat="1" ht="15.75" customHeight="1"/>
    <row r="1002" s="47" customFormat="1" ht="15.75" customHeight="1"/>
    <row r="1003" s="47" customFormat="1" ht="15.75" customHeight="1"/>
    <row r="1004" s="47" customFormat="1" ht="15.75" customHeight="1"/>
    <row r="1005" s="47" customFormat="1" ht="15.75" customHeight="1"/>
    <row r="1006" s="47" customFormat="1" ht="15.75" customHeight="1"/>
    <row r="1007" s="47" customFormat="1" ht="15.75" customHeight="1"/>
    <row r="1008" s="47" customFormat="1" ht="15.75" customHeight="1"/>
    <row r="1009" s="47" customFormat="1" ht="15.75" customHeight="1"/>
    <row r="1010" s="47" customFormat="1" ht="15.75" customHeight="1"/>
    <row r="1011" s="47" customFormat="1" ht="15.75" customHeight="1"/>
    <row r="1012" s="47" customFormat="1" ht="15.75" customHeight="1"/>
    <row r="1013" s="47" customFormat="1" ht="15.75" customHeight="1"/>
    <row r="1014" s="47" customFormat="1" ht="15.75" customHeight="1"/>
    <row r="1015" s="47" customFormat="1" ht="15.75" customHeight="1"/>
    <row r="1016" s="47" customFormat="1" ht="15.75" customHeight="1"/>
    <row r="1017" s="47" customFormat="1" ht="15.75" customHeight="1"/>
  </sheetData>
  <mergeCells count="2">
    <mergeCell ref="D1:H1"/>
    <mergeCell ref="I1:L1"/>
  </mergeCells>
  <conditionalFormatting sqref="A422:D422 F422 H422:J422 L422:M422 O422:R422">
    <cfRule type="notContainsBlanks" dxfId="1" priority="2">
      <formula>LEN(TRIM(A422))&gt;0</formula>
    </cfRule>
  </conditionalFormatting>
  <conditionalFormatting sqref="E422:F422">
    <cfRule type="notContainsBlanks" dxfId="0" priority="1">
      <formula>LEN(TRIM(E422))&gt;0</formula>
    </cfRule>
  </conditionalFormatting>
  <dataValidations count="1">
    <dataValidation type="list" allowBlank="1" showErrorMessage="1" sqref="C3:C701" xr:uid="{A0B5BC63-A163-41E8-B717-EC502AB6E6D7}">
      <formula1>"Nominativa,Figurativa,Mixta,3D,Animada,Color,Sonido,Olor,Gestual,Táctil,Posición,Tridimensional mixta,No definido"</formula1>
    </dataValidation>
  </dataValidations>
  <hyperlinks>
    <hyperlink ref="A170" r:id="rId1" xr:uid="{1B53DC9D-D1D5-44EF-B1F7-1CAD653A9179}"/>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Edward Suesca</cp:lastModifiedBy>
  <dcterms:created xsi:type="dcterms:W3CDTF">2024-12-10T23:05:33Z</dcterms:created>
  <dcterms:modified xsi:type="dcterms:W3CDTF">2026-08-04T19:54:41Z</dcterms:modified>
</cp:coreProperties>
</file>